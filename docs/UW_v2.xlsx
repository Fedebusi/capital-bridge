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 Screen" sheetId="1" r:id="rId1"/>
    <sheet name="Cover" sheetId="2" r:id="rId2"/>
    <sheet name="Inputs" sheetId="3" r:id="rId3"/>
    <sheet name="Cash Flo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4" formatCode="#,##0;[Red]\(#,##0\);\-"/>
    <numFmt numFmtId="165" formatCode="mmm\-yyyy"/>
    <numFmt numFmtId="166" formatCode="_-&quot;€ &quot;#,##0_-;[Red]_-&quot;€ (&quot;#,##0\)_-;_-\-_-;_-@_-"/>
    <numFmt numFmtId="167" formatCode="0.0%;[Red]\(0.0%\);\-"/>
    <numFmt numFmtId="168" formatCode="0&quot; months&quot;"/>
    <numFmt numFmtId="169" formatCode="_-&quot;€ &quot;#,##0_-&quot;/sqm&quot;;[Red]_-&quot;€ (&quot;#,##0\)_-&quot;/sqm&quot;;_-\-_-;_-@_-"/>
    <numFmt numFmtId="170" formatCode="\M0"/>
    <numFmt numFmtId="173" formatCode="dd\-mm\-yy;@"/>
    <numFmt numFmtId="174" formatCode="_-\€\ #,##0_-;[Red]_-\€\ \(#,##0\)_-;_-\-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29"/>
  <sheetViews>
    <sheetView workbookViewId="0" rightToLeft="0"/>
  </sheetViews>
  <sheetData>
    <row r="2">
      <c r="B2" t="str">
        <v>QUICK SCREEN — SPONSOR CASH FLOW</v>
      </c>
    </row>
    <row r="6">
      <c r="B6" t="str">
        <v>Input the main data available</v>
      </c>
      <c r="G6" t="str">
        <v>&lt;&lt;&lt;&lt;&lt;&lt;&lt;&lt;</v>
      </c>
      <c r="H6" t="str">
        <v>This is just a simplistic and fast way to determine the margin of the developer to understand if it's a viable operation</v>
      </c>
    </row>
    <row r="8">
      <c r="B8" t="str">
        <v>Buildable Area</v>
      </c>
      <c r="D8" t="str">
        <v>Sqm</v>
      </c>
    </row>
    <row r="10">
      <c r="B10" t="str">
        <v>Sponsor Cash Flow</v>
      </c>
      <c r="C10" t="str">
        <v>€</v>
      </c>
      <c r="D10" t="str">
        <v>€/sqm</v>
      </c>
    </row>
    <row r="11">
      <c r="B11" t="str">
        <v>(+) Sale Proceeds</v>
      </c>
      <c r="C11">
        <f>Inputs!C18</f>
        <v>0</v>
      </c>
      <c r="D11">
        <f>IFERROR(C11/$C$8,0)</f>
        <v>0</v>
      </c>
    </row>
    <row r="12">
      <c r="B12" t="str">
        <v>(−) Acquisition Cost</v>
      </c>
      <c r="C12">
        <f>-Inputs!D23*(1+Inputs!D24)</f>
        <v>0</v>
      </c>
      <c r="D12">
        <f>IFERROR(C12/$C$8,0)</f>
        <v>0</v>
      </c>
    </row>
    <row r="13">
      <c r="B13" t="str">
        <v xml:space="preserve">    Acquisition Price</v>
      </c>
      <c r="C13">
        <f>-Inputs!D23</f>
        <v>0</v>
      </c>
      <c r="D13">
        <f>IFERROR(C13/$C$8,0)</f>
        <v>0</v>
      </c>
    </row>
    <row r="14">
      <c r="B14" t="str">
        <v xml:space="preserve">    Related Costs</v>
      </c>
      <c r="C14">
        <f>-Inputs!D23*Inputs!D24</f>
        <v>0</v>
      </c>
      <c r="D14">
        <f>IFERROR(C14/$C$8,0)</f>
        <v>0</v>
      </c>
    </row>
    <row r="15">
      <c r="B15" t="str">
        <v>(−) Construction Works</v>
      </c>
      <c r="C15">
        <f>-(Inputs!D29*Inputs!C15+Inputs!D28*Inputs!C15+(Inputs!D29*Inputs!C15+Inputs!D28*Inputs!C15)*Inputs!D30)</f>
        <v>0</v>
      </c>
      <c r="D15">
        <f>IFERROR(C15/$C$8,0)</f>
        <v>0</v>
      </c>
    </row>
    <row r="16">
      <c r="B16" t="str">
        <v xml:space="preserve">    Soft Costs (excl. PM)</v>
      </c>
      <c r="C16">
        <f>-Inputs!D29*Inputs!C15</f>
        <v>0</v>
      </c>
      <c r="D16">
        <f>IFERROR(C16/$C$8,0)</f>
        <v>0</v>
      </c>
    </row>
    <row r="17">
      <c r="B17" t="str">
        <v xml:space="preserve">    Hard Costs</v>
      </c>
      <c r="C17">
        <f>-Inputs!D28*Inputs!C15</f>
        <v>0</v>
      </c>
      <c r="D17">
        <f>IFERROR(C17/$C$8,0)</f>
        <v>0</v>
      </c>
    </row>
    <row r="18">
      <c r="B18" t="str">
        <v xml:space="preserve">    Project Management (PM)</v>
      </c>
      <c r="C18">
        <f>-(Inputs!D29*Inputs!C15+Inputs!D28*Inputs!C15)*Inputs!D30</f>
        <v>0</v>
      </c>
      <c r="D18">
        <f>IFERROR(C18/$C$8,0)</f>
        <v>0</v>
      </c>
    </row>
    <row r="19">
      <c r="B19" t="str">
        <v>(−) Other Costs</v>
      </c>
      <c r="C19">
        <f>-Inputs!D31</f>
        <v>0</v>
      </c>
      <c r="D19">
        <f>IFERROR(C19/$C$8,0)</f>
        <v>0</v>
      </c>
    </row>
    <row r="20">
      <c r="B20" t="str">
        <v>Sponsor Margin</v>
      </c>
      <c r="C20">
        <f>C11+C12+C15+C19</f>
        <v>0</v>
      </c>
      <c r="D20">
        <f>IFERROR(C20/C11,0)</f>
        <v>0</v>
      </c>
    </row>
    <row r="21">
      <c r="B21" t="str">
        <v>PIK Interests + Opening Fee</v>
      </c>
      <c r="C21" t="e">
        <f>-('Cash Flow'!C11+'Cash Flow'!C12)</f>
        <v>#REF!</v>
      </c>
      <c r="D21">
        <f>IFERROR(C21/$C$8,0)</f>
        <v>0</v>
      </c>
    </row>
    <row r="22">
      <c r="B22" t="str">
        <v>Sponsor Net Margin</v>
      </c>
      <c r="C22" t="e">
        <f>C20+C21</f>
        <v>#REF!</v>
      </c>
      <c r="D22">
        <f>+IFERROR(C22/C11,0)</f>
        <v>0</v>
      </c>
    </row>
  </sheetData>
  <pageMargins left="0.75" right="0.75" top="1" bottom="1" header="0.511811023622047" footer="0.511811023622047"/>
  <ignoredErrors>
    <ignoredError numberStoredAsText="1" sqref="B2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C27"/>
  <sheetViews>
    <sheetView workbookViewId="0" rightToLeft="0"/>
  </sheetViews>
  <sheetData>
    <row r="2">
      <c r="B2" t="str">
        <v>CLIKALIA DEBT FUND — UNDERWRITING MODEL</v>
      </c>
    </row>
    <row r="3">
      <c r="B3" t="str">
        <v>Senior Secured Bridge Loan — Residential Development — Spain</v>
      </c>
    </row>
    <row r="5">
      <c r="B5" t="str">
        <v>DEAL IDENTIFICATION</v>
      </c>
    </row>
    <row r="6">
      <c r="C6" t="str">
        <v/>
      </c>
    </row>
    <row r="7">
      <c r="B7" t="str">
        <v>Project Name</v>
      </c>
      <c r="C7">
        <v>0</v>
      </c>
    </row>
    <row r="8">
      <c r="B8" t="str">
        <v>Sponsor</v>
      </c>
      <c r="C8">
        <v>0</v>
      </c>
    </row>
    <row r="9">
      <c r="B9" t="str">
        <v>Borrower SPV</v>
      </c>
      <c r="C9">
        <v>0</v>
      </c>
    </row>
    <row r="10">
      <c r="B10" t="str">
        <v>Location (City, Province)</v>
      </c>
      <c r="C10">
        <v>0</v>
      </c>
    </row>
    <row r="11">
      <c r="B11" t="str">
        <v>Product Type</v>
      </c>
      <c r="C11">
        <v>0</v>
      </c>
    </row>
    <row r="12">
      <c r="B12" t="str">
        <v>Total Buildable Area (sqm)</v>
      </c>
      <c r="C12">
        <v>0</v>
      </c>
    </row>
    <row r="13">
      <c r="B13" t="str">
        <v>Total Units</v>
      </c>
      <c r="C13">
        <v>0</v>
      </c>
    </row>
    <row r="14">
      <c r="B14" t="str">
        <v>Deal Date</v>
      </c>
      <c r="C14">
        <f>TODAY()</f>
        <v>46133</v>
      </c>
    </row>
    <row r="15">
      <c r="B15" t="str">
        <v>Underwriter</v>
      </c>
      <c r="C15">
        <v>0</v>
      </c>
    </row>
    <row r="17">
      <c r="B17" t="str">
        <v>LOAN HEADLINE</v>
      </c>
    </row>
    <row r="19">
      <c r="B19" t="str">
        <v>Loan Commitment (€)</v>
      </c>
      <c r="C19">
        <f>Inputs!D55</f>
      </c>
    </row>
    <row r="20">
      <c r="B20" t="str">
        <v>LTC (Loan / Total Cost)</v>
      </c>
      <c r="C20">
        <f>IFERROR(Inputs!D55/(Inputs!C23+Inputs!C24+Inputs!C28+Inputs!C29+Inputs!C30+Inputs!C31),0)</f>
      </c>
    </row>
    <row r="21">
      <c r="B21" t="str">
        <v>LTV (Loan / GDV)</v>
      </c>
      <c r="C21">
        <f>IFERROR(Inputs!D55/Inputs!C18,0)</f>
      </c>
    </row>
    <row r="22">
      <c r="B22" t="str">
        <v>Peak Loan Balance (€)</v>
      </c>
      <c r="C22">
        <f>'Cash Flow'!C7</f>
      </c>
    </row>
    <row r="23">
      <c r="B23" t="str">
        <v>PIK Rate</v>
      </c>
      <c r="C23">
        <f>Inputs!D56</f>
      </c>
    </row>
    <row r="24">
      <c r="B24" t="str">
        <v>Opening Fee</v>
      </c>
      <c r="C24">
        <f>Inputs!D58</f>
      </c>
    </row>
    <row r="25">
      <c r="B25" t="str">
        <v>Duration</v>
      </c>
      <c r="C25">
        <f>Inputs!D7</f>
      </c>
    </row>
  </sheetData>
  <pageMargins left="0.75" right="0.75" top="1" bottom="1" header="0.511811023622047" footer="0.511811023622047"/>
  <ignoredErrors>
    <ignoredError numberStoredAsText="1" sqref="B2: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CT78"/>
  <sheetViews>
    <sheetView workbookViewId="0" rightToLeft="0"/>
  </sheetViews>
  <sheetData>
    <row r="2">
      <c r="B2" t="str">
        <v>INPUTS</v>
      </c>
    </row>
    <row r="4">
      <c r="B4" t="str">
        <v>0. GENERAL ASSUMPTIONS</v>
      </c>
    </row>
    <row r="6">
      <c r="D6" t="str">
        <v>Duration</v>
      </c>
    </row>
    <row r="7">
      <c r="B7" t="str">
        <v>Model start Date</v>
      </c>
      <c r="C7">
        <f>+EOMONTH(F7,D7)</f>
        <v>46599</v>
      </c>
      <c r="D7">
        <v>15</v>
      </c>
      <c r="E7" t="str">
        <v>Today</v>
      </c>
      <c r="F7">
        <f>+TODAY()</f>
        <v>46133</v>
      </c>
    </row>
    <row r="8">
      <c r="B8" t="str">
        <v>Model End Date</v>
      </c>
      <c r="C8">
        <f>+EOMONTH(C7,D7)</f>
        <v>47057</v>
      </c>
    </row>
    <row r="13">
      <c r="B13" t="str">
        <v>1. SALES PLAN</v>
      </c>
    </row>
    <row r="15">
      <c r="B15" t="str">
        <v>Buildable area (sqm)</v>
      </c>
    </row>
    <row r="16">
      <c r="B16" t="str">
        <v>Number of units</v>
      </c>
    </row>
    <row r="17">
      <c r="B17" t="str">
        <v>Average sale price (€/sqm)</v>
      </c>
    </row>
    <row r="18">
      <c r="B18" t="str">
        <v>Sale €</v>
      </c>
      <c r="C18">
        <f>C15*C17</f>
        <v>0</v>
      </c>
    </row>
    <row r="20">
      <c r="B20" t="str">
        <v>2. COSTS</v>
      </c>
    </row>
    <row r="22">
      <c r="C22" t="str">
        <v>Total €</v>
      </c>
      <c r="D22" t="str">
        <v>€/sqm</v>
      </c>
      <c r="E22" t="str">
        <v>%</v>
      </c>
    </row>
    <row r="23">
      <c r="B23" t="str">
        <v>Acquisition price (€)</v>
      </c>
      <c r="C23">
        <f>+IFERROR(D23*$C$15,0)</f>
        <v>0</v>
      </c>
    </row>
    <row r="24">
      <c r="B24" t="str">
        <v>Related acquisition costs (% of acq. price)</v>
      </c>
      <c r="C24">
        <f>+IFERROR(E24*$C$23,0)</f>
        <v>0</v>
      </c>
      <c r="D24">
        <f>+IFERROR(C24/$C$15,0)</f>
        <v>0</v>
      </c>
      <c r="E24">
        <v>0</v>
      </c>
    </row>
    <row r="25">
      <c r="B25" t="str">
        <v>Notary</v>
      </c>
      <c r="C25">
        <f>+IFERROR(E25*$C$23,0)</f>
        <v>0</v>
      </c>
      <c r="D25">
        <f>+IFERROR(C25/$C$15,0)</f>
        <v>0</v>
      </c>
      <c r="E25">
        <v>0</v>
      </c>
    </row>
    <row r="26">
      <c r="B26" t="str">
        <v>AJD</v>
      </c>
      <c r="C26">
        <f>+IFERROR(E26*$C$23,0)</f>
        <v>0</v>
      </c>
      <c r="D26">
        <f>+IFERROR(C26/$C$15,0)</f>
        <v>0</v>
      </c>
      <c r="E26">
        <v>0</v>
      </c>
    </row>
    <row r="27">
      <c r="B27" t="str">
        <v>Other costs (%,Variables)</v>
      </c>
      <c r="C27">
        <f>+IFERROR(E27*$C$23,0)</f>
        <v>0</v>
      </c>
      <c r="D27">
        <f>+IFERROR(C27/$C$15,0)</f>
        <v>0</v>
      </c>
      <c r="E27">
        <v>0</v>
      </c>
    </row>
    <row r="28">
      <c r="B28" t="str">
        <v>Hard costs (€/sqm)</v>
      </c>
      <c r="C28">
        <f>+IFERROR(D28*$C$15,0)</f>
        <v>0</v>
      </c>
    </row>
    <row r="29">
      <c r="B29" t="str">
        <v>Soft costs (€/sqm)</v>
      </c>
      <c r="C29">
        <f>+IFERROR(D29*$C$15,0)</f>
        <v>0</v>
      </c>
    </row>
    <row r="30">
      <c r="B30" t="str">
        <v>Project management (% of hard + soft)</v>
      </c>
      <c r="C30">
        <f>+IFERROR(SUM(C28:C29)*E30,0)</f>
        <v>0</v>
      </c>
      <c r="D30">
        <f>+IFERROR(C30/C15,0)</f>
        <v>0</v>
      </c>
      <c r="E30">
        <v>0</v>
      </c>
    </row>
    <row r="31">
      <c r="B31" t="str">
        <v>Other costs (€, fixed)</v>
      </c>
      <c r="D31">
        <f>+IFERROR(C31/$C$15,0)</f>
        <v>0</v>
      </c>
    </row>
    <row r="33">
      <c r="B33" t="str">
        <v>2b. COST DETAIL (optional — for reference only)</v>
      </c>
    </row>
    <row r="35">
      <c r="B35" t="str">
        <v>Hard costs detail</v>
      </c>
      <c r="C35" t="str">
        <v>Total €</v>
      </c>
      <c r="D35" t="str">
        <v>€/sqm</v>
      </c>
    </row>
    <row r="36">
      <c r="B36" t="str">
        <v xml:space="preserve">  Structure &amp; shell</v>
      </c>
    </row>
    <row r="37">
      <c r="B37" t="str">
        <v xml:space="preserve">  MEP (mechanical/electrical/plumbing)</v>
      </c>
    </row>
    <row r="38">
      <c r="B38" t="str">
        <v xml:space="preserve">  Finishes</v>
      </c>
    </row>
    <row r="39">
      <c r="B39" t="str">
        <v xml:space="preserve">  External works</v>
      </c>
    </row>
    <row r="40">
      <c r="B40" t="str">
        <v xml:space="preserve">  Contingency</v>
      </c>
    </row>
    <row r="41">
      <c r="B41" t="str">
        <v>Total hard costs (detail sum) — €/sqm</v>
      </c>
      <c r="C41">
        <f>SUM(C36:C40)</f>
        <v>0</v>
      </c>
      <c r="D41">
        <f>SUM(D36:D40)</f>
        <v>0</v>
      </c>
    </row>
    <row r="42">
      <c r="B42" t="str">
        <v xml:space="preserve">  Delta vs. aggregate</v>
      </c>
      <c r="C42">
        <f>IFERROR(C41/C15 - C28,0)</f>
      </c>
      <c r="D42">
        <f>D41 - D28</f>
      </c>
    </row>
    <row r="44">
      <c r="B44" t="str">
        <v>Soft costs detail</v>
      </c>
      <c r="C44" t="str">
        <v>Total €</v>
      </c>
      <c r="D44" t="str">
        <v>€/sqm</v>
      </c>
    </row>
    <row r="45">
      <c r="B45" t="str">
        <v xml:space="preserve">  Architectural &amp; engineering fees</v>
      </c>
    </row>
    <row r="46">
      <c r="B46" t="str">
        <v xml:space="preserve">  Licensing &amp; permits</v>
      </c>
    </row>
    <row r="47">
      <c r="B47" t="str">
        <v xml:space="preserve">  Insurance (all-risk construction)</v>
      </c>
    </row>
    <row r="48">
      <c r="B48" t="str">
        <v xml:space="preserve">  Legal &amp; consultancy</v>
      </c>
    </row>
    <row r="49">
      <c r="B49" t="str">
        <v>Total soft costs (detail sum) — €/sqm</v>
      </c>
      <c r="C49">
        <f>SUM(C45:C48)</f>
        <v>0</v>
      </c>
      <c r="D49">
        <f>SUM(D45:D48)</f>
        <v>0</v>
      </c>
    </row>
    <row r="50">
      <c r="B50" t="str">
        <v xml:space="preserve">  Delta vs. aggregate</v>
      </c>
      <c r="C50">
        <f>IFERROR(C49/C15 - C29,0)</f>
      </c>
      <c r="D50">
        <f>D49 - D29</f>
      </c>
    </row>
    <row r="52">
      <c r="B52" t="str">
        <v>3. FINANCING TERMS</v>
      </c>
    </row>
    <row r="54">
      <c r="C54" t="str">
        <v>Total €</v>
      </c>
      <c r="D54" t="str">
        <v>€/sqm</v>
      </c>
    </row>
    <row r="55">
      <c r="B55" t="str">
        <v>Loan commitment (€)</v>
      </c>
    </row>
    <row r="56">
      <c r="B56" t="str">
        <v>Duration (months)</v>
      </c>
    </row>
    <row r="57">
      <c r="B57" t="str">
        <v>PIK rate (% annual)</v>
      </c>
    </row>
    <row r="58">
      <c r="B58" t="str">
        <v>Opening fee (%)</v>
      </c>
    </row>
    <row r="60">
      <c r="B60" t="str">
        <v>4. TIMING (Project Phasing)</v>
      </c>
    </row>
    <row r="61">
      <c r="I61">
        <v>1</v>
      </c>
      <c r="J61">
        <f>+I61+1</f>
        <v>2</v>
      </c>
      <c r="K61">
        <f>+J61+1</f>
        <v>3</v>
      </c>
      <c r="L61">
        <f>+K61+1</f>
        <v>4</v>
      </c>
      <c r="M61">
        <f>+L61+1</f>
        <v>5</v>
      </c>
      <c r="N61">
        <f>+M61+1</f>
        <v>6</v>
      </c>
      <c r="O61">
        <f>+N61+1</f>
        <v>7</v>
      </c>
      <c r="P61">
        <f>+O61+1</f>
        <v>8</v>
      </c>
      <c r="Q61">
        <f>+P61+1</f>
        <v>9</v>
      </c>
      <c r="R61">
        <f>+Q61+1</f>
        <v>10</v>
      </c>
      <c r="S61">
        <f>+R61+1</f>
        <v>11</v>
      </c>
      <c r="T61">
        <f>+S61+1</f>
        <v>12</v>
      </c>
      <c r="U61">
        <f>+T61+1</f>
        <v>13</v>
      </c>
      <c r="V61">
        <f>+U61+1</f>
        <v>14</v>
      </c>
      <c r="W61">
        <f>+V61+1</f>
        <v>15</v>
      </c>
      <c r="X61">
        <f>+W61+1</f>
        <v>16</v>
      </c>
      <c r="Y61">
        <f>+X61+1</f>
        <v>17</v>
      </c>
      <c r="Z61">
        <f>+Y61+1</f>
        <v>18</v>
      </c>
      <c r="AA61">
        <f>+Z61+1</f>
        <v>19</v>
      </c>
      <c r="AB61">
        <f>+AA61+1</f>
        <v>20</v>
      </c>
      <c r="AC61">
        <f>+AB61+1</f>
        <v>21</v>
      </c>
      <c r="AD61">
        <f>+AC61+1</f>
        <v>22</v>
      </c>
      <c r="AE61">
        <f>+AD61+1</f>
        <v>23</v>
      </c>
      <c r="AF61">
        <f>+AE61+1</f>
        <v>24</v>
      </c>
      <c r="AG61">
        <f>+AF61+1</f>
        <v>25</v>
      </c>
      <c r="AH61">
        <f>+AG61+1</f>
        <v>26</v>
      </c>
      <c r="AI61">
        <f>+AH61+1</f>
        <v>27</v>
      </c>
      <c r="AJ61">
        <f>+AI61+1</f>
        <v>28</v>
      </c>
      <c r="AK61">
        <f>+AJ61+1</f>
        <v>29</v>
      </c>
      <c r="AL61">
        <f>+AK61+1</f>
        <v>30</v>
      </c>
      <c r="AM61">
        <f>+AL61+1</f>
        <v>31</v>
      </c>
      <c r="AN61">
        <f>+AM61+1</f>
        <v>32</v>
      </c>
      <c r="AO61">
        <f>+AN61+1</f>
        <v>33</v>
      </c>
      <c r="AP61">
        <f>+AO61+1</f>
        <v>34</v>
      </c>
      <c r="AQ61">
        <f>+AP61+1</f>
        <v>35</v>
      </c>
      <c r="AR61">
        <f>+AQ61+1</f>
        <v>36</v>
      </c>
      <c r="AS61">
        <f>+AR61+1</f>
        <v>37</v>
      </c>
      <c r="AT61">
        <f>+AS61+1</f>
        <v>38</v>
      </c>
      <c r="AU61">
        <f>+AT61+1</f>
        <v>39</v>
      </c>
      <c r="AV61">
        <f>+AU61+1</f>
        <v>40</v>
      </c>
      <c r="AW61">
        <f>+AV61+1</f>
        <v>41</v>
      </c>
      <c r="AX61">
        <f>+AW61+1</f>
        <v>42</v>
      </c>
      <c r="AY61">
        <f>+AX61+1</f>
        <v>43</v>
      </c>
      <c r="AZ61">
        <f>+AY61+1</f>
        <v>44</v>
      </c>
      <c r="BA61">
        <f>+AZ61+1</f>
        <v>45</v>
      </c>
      <c r="BB61">
        <f>+BA61+1</f>
        <v>46</v>
      </c>
      <c r="BC61">
        <f>+BB61+1</f>
        <v>47</v>
      </c>
      <c r="BD61">
        <f>+BC61+1</f>
        <v>48</v>
      </c>
      <c r="BE61">
        <f>+BD61+1</f>
        <v>49</v>
      </c>
      <c r="BF61">
        <f>+BE61+1</f>
        <v>50</v>
      </c>
      <c r="BG61">
        <f>+BF61+1</f>
        <v>51</v>
      </c>
      <c r="BH61">
        <f>+BG61+1</f>
        <v>52</v>
      </c>
      <c r="BI61">
        <f>+BH61+1</f>
        <v>53</v>
      </c>
      <c r="BJ61">
        <f>+BI61+1</f>
        <v>54</v>
      </c>
      <c r="BK61">
        <f>+BJ61+1</f>
        <v>55</v>
      </c>
      <c r="BL61">
        <f>+BK61+1</f>
        <v>56</v>
      </c>
      <c r="BM61">
        <f>+BL61+1</f>
        <v>57</v>
      </c>
      <c r="BN61">
        <f>+BM61+1</f>
        <v>58</v>
      </c>
      <c r="BO61">
        <f>+BN61+1</f>
        <v>59</v>
      </c>
      <c r="BP61">
        <f>+BO61+1</f>
        <v>60</v>
      </c>
      <c r="BQ61">
        <f>+BP61+1</f>
        <v>61</v>
      </c>
      <c r="BR61">
        <f>+BQ61+1</f>
        <v>62</v>
      </c>
      <c r="BS61">
        <f>+BR61+1</f>
        <v>63</v>
      </c>
      <c r="BT61">
        <f>+BS61+1</f>
        <v>64</v>
      </c>
      <c r="BU61">
        <f>+BT61+1</f>
        <v>65</v>
      </c>
      <c r="BV61">
        <f>+BU61+1</f>
        <v>66</v>
      </c>
      <c r="BW61">
        <f>+BV61+1</f>
        <v>67</v>
      </c>
      <c r="BX61">
        <f>+BW61+1</f>
        <v>68</v>
      </c>
      <c r="BY61">
        <f>+BX61+1</f>
        <v>69</v>
      </c>
      <c r="BZ61">
        <f>+BY61+1</f>
        <v>70</v>
      </c>
      <c r="CA61">
        <f>+BZ61+1</f>
        <v>71</v>
      </c>
      <c r="CB61">
        <f>+CA61+1</f>
        <v>72</v>
      </c>
      <c r="CC61">
        <f>+CB61+1</f>
        <v>73</v>
      </c>
      <c r="CD61">
        <f>+CC61+1</f>
        <v>74</v>
      </c>
      <c r="CE61">
        <f>+CD61+1</f>
        <v>75</v>
      </c>
      <c r="CF61">
        <f>+CE61+1</f>
        <v>76</v>
      </c>
      <c r="CG61">
        <f>+CF61+1</f>
        <v>77</v>
      </c>
      <c r="CH61">
        <f>+CG61+1</f>
        <v>78</v>
      </c>
      <c r="CI61">
        <f>+CH61+1</f>
        <v>79</v>
      </c>
      <c r="CJ61">
        <f>+CI61+1</f>
        <v>80</v>
      </c>
      <c r="CK61">
        <f>+CJ61+1</f>
        <v>81</v>
      </c>
      <c r="CL61">
        <f>+CK61+1</f>
        <v>82</v>
      </c>
      <c r="CM61">
        <f>+CL61+1</f>
        <v>83</v>
      </c>
      <c r="CN61">
        <f>+CM61+1</f>
        <v>84</v>
      </c>
      <c r="CO61">
        <f>+CN61+1</f>
        <v>85</v>
      </c>
      <c r="CP61">
        <f>+CO61+1</f>
        <v>86</v>
      </c>
      <c r="CQ61">
        <f>+CP61+1</f>
        <v>87</v>
      </c>
      <c r="CR61">
        <f>+CQ61+1</f>
        <v>88</v>
      </c>
      <c r="CS61">
        <f>+CR61+1</f>
        <v>89</v>
      </c>
      <c r="CT61">
        <f>+CS61+1</f>
        <v>90</v>
      </c>
    </row>
    <row r="62">
      <c r="I62">
        <f>+C7</f>
        <v>46599</v>
      </c>
      <c r="J62">
        <f>+EOMONTH(I62,1)</f>
        <v>46630</v>
      </c>
      <c r="K62">
        <f>+EOMONTH(J62,1)</f>
        <v>46660</v>
      </c>
      <c r="L62">
        <f>+EOMONTH(K62,1)</f>
        <v>46691</v>
      </c>
      <c r="M62">
        <f>+EOMONTH(L62,1)</f>
        <v>46721</v>
      </c>
      <c r="N62">
        <f>+EOMONTH(M62,1)</f>
        <v>46752</v>
      </c>
      <c r="O62">
        <f>+EOMONTH(N62,1)</f>
        <v>46783</v>
      </c>
      <c r="P62">
        <f>+EOMONTH(O62,1)</f>
        <v>46812</v>
      </c>
      <c r="Q62">
        <f>+EOMONTH(P62,1)</f>
        <v>46843</v>
      </c>
      <c r="R62">
        <f>+EOMONTH(Q62,1)</f>
        <v>46873</v>
      </c>
      <c r="S62">
        <f>+EOMONTH(R62,1)</f>
        <v>46904</v>
      </c>
      <c r="T62">
        <f>+EOMONTH(S62,1)</f>
        <v>46934</v>
      </c>
      <c r="U62">
        <f>+EOMONTH(T62,1)</f>
        <v>46965</v>
      </c>
      <c r="V62">
        <f>+EOMONTH(U62,1)</f>
        <v>46996</v>
      </c>
      <c r="W62">
        <f>+EOMONTH(V62,1)</f>
        <v>47026</v>
      </c>
      <c r="X62">
        <f>+EOMONTH(W62,1)</f>
        <v>47057</v>
      </c>
      <c r="Y62">
        <f>+EOMONTH(X62,1)</f>
        <v>47087</v>
      </c>
      <c r="Z62">
        <f>+EOMONTH(Y62,1)</f>
        <v>47118</v>
      </c>
      <c r="AA62">
        <f>+EOMONTH(Z62,1)</f>
        <v>47149</v>
      </c>
      <c r="AB62">
        <f>+EOMONTH(AA62,1)</f>
        <v>47177</v>
      </c>
      <c r="AC62">
        <f>+EOMONTH(AB62,1)</f>
        <v>47208</v>
      </c>
      <c r="AD62">
        <f>+EOMONTH(AC62,1)</f>
        <v>47238</v>
      </c>
      <c r="AE62">
        <f>+EOMONTH(AD62,1)</f>
        <v>47269</v>
      </c>
      <c r="AF62">
        <f>+EOMONTH(AE62,1)</f>
        <v>47299</v>
      </c>
      <c r="AG62">
        <f>+EOMONTH(AF62,1)</f>
        <v>47330</v>
      </c>
      <c r="AH62">
        <f>+EOMONTH(AG62,1)</f>
        <v>47361</v>
      </c>
      <c r="AI62">
        <f>+EOMONTH(AH62,1)</f>
        <v>47391</v>
      </c>
      <c r="AJ62">
        <f>+EOMONTH(AI62,1)</f>
        <v>47422</v>
      </c>
      <c r="AK62">
        <f>+EOMONTH(AJ62,1)</f>
        <v>47452</v>
      </c>
      <c r="AL62">
        <f>+EOMONTH(AK62,1)</f>
        <v>47483</v>
      </c>
      <c r="AM62">
        <f>+EOMONTH(AL62,1)</f>
        <v>47514</v>
      </c>
      <c r="AN62">
        <f>+EOMONTH(AM62,1)</f>
        <v>47542</v>
      </c>
      <c r="AO62">
        <f>+EOMONTH(AN62,1)</f>
        <v>47573</v>
      </c>
      <c r="AP62">
        <f>+EOMONTH(AO62,1)</f>
        <v>47603</v>
      </c>
      <c r="AQ62">
        <f>+EOMONTH(AP62,1)</f>
        <v>47634</v>
      </c>
      <c r="AR62">
        <f>+EOMONTH(AQ62,1)</f>
        <v>47664</v>
      </c>
      <c r="AS62">
        <f>+EOMONTH(AR62,1)</f>
        <v>47695</v>
      </c>
      <c r="AT62">
        <f>+EOMONTH(AS62,1)</f>
        <v>47726</v>
      </c>
      <c r="AU62">
        <f>+EOMONTH(AT62,1)</f>
        <v>47756</v>
      </c>
      <c r="AV62">
        <f>+EOMONTH(AU62,1)</f>
        <v>47787</v>
      </c>
      <c r="AW62">
        <f>+EOMONTH(AV62,1)</f>
        <v>47817</v>
      </c>
      <c r="AX62">
        <f>+EOMONTH(AW62,1)</f>
        <v>47848</v>
      </c>
      <c r="AY62">
        <f>+EOMONTH(AX62,1)</f>
        <v>47879</v>
      </c>
      <c r="AZ62">
        <f>+EOMONTH(AY62,1)</f>
        <v>47907</v>
      </c>
      <c r="BA62">
        <f>+EOMONTH(AZ62,1)</f>
        <v>47938</v>
      </c>
      <c r="BB62">
        <f>+EOMONTH(BA62,1)</f>
        <v>47968</v>
      </c>
      <c r="BC62">
        <f>+EOMONTH(BB62,1)</f>
        <v>47999</v>
      </c>
      <c r="BD62">
        <f>+EOMONTH(BC62,1)</f>
        <v>48029</v>
      </c>
      <c r="BE62">
        <f>+EOMONTH(BD62,1)</f>
        <v>48060</v>
      </c>
      <c r="BF62">
        <f>+EOMONTH(BE62,1)</f>
        <v>48091</v>
      </c>
      <c r="BG62">
        <f>+EOMONTH(BF62,1)</f>
        <v>48121</v>
      </c>
      <c r="BH62">
        <f>+EOMONTH(BG62,1)</f>
        <v>48152</v>
      </c>
      <c r="BI62">
        <f>+EOMONTH(BH62,1)</f>
        <v>48182</v>
      </c>
      <c r="BJ62">
        <f>+EOMONTH(BI62,1)</f>
        <v>48213</v>
      </c>
      <c r="BK62">
        <f>+EOMONTH(BJ62,1)</f>
        <v>48244</v>
      </c>
      <c r="BL62">
        <f>+EOMONTH(BK62,1)</f>
        <v>48273</v>
      </c>
      <c r="BM62">
        <f>+EOMONTH(BL62,1)</f>
        <v>48304</v>
      </c>
      <c r="BN62">
        <f>+EOMONTH(BM62,1)</f>
        <v>48334</v>
      </c>
      <c r="BO62">
        <f>+EOMONTH(BN62,1)</f>
        <v>48365</v>
      </c>
      <c r="BP62">
        <f>+EOMONTH(BO62,1)</f>
        <v>48395</v>
      </c>
      <c r="BQ62">
        <f>+EOMONTH(BP62,1)</f>
        <v>48426</v>
      </c>
      <c r="BR62">
        <f>+EOMONTH(BQ62,1)</f>
        <v>48457</v>
      </c>
      <c r="BS62">
        <f>+EOMONTH(BR62,1)</f>
        <v>48487</v>
      </c>
      <c r="BT62">
        <f>+EOMONTH(BS62,1)</f>
        <v>48518</v>
      </c>
      <c r="BU62">
        <f>+EOMONTH(BT62,1)</f>
        <v>48548</v>
      </c>
      <c r="BV62">
        <f>+EOMONTH(BU62,1)</f>
        <v>48579</v>
      </c>
      <c r="BW62">
        <f>+EOMONTH(BV62,1)</f>
        <v>48610</v>
      </c>
      <c r="BX62">
        <f>+EOMONTH(BW62,1)</f>
        <v>48638</v>
      </c>
      <c r="BY62">
        <f>+EOMONTH(BX62,1)</f>
        <v>48669</v>
      </c>
      <c r="BZ62">
        <f>+EOMONTH(BY62,1)</f>
        <v>48699</v>
      </c>
      <c r="CA62">
        <f>+EOMONTH(BZ62,1)</f>
        <v>48730</v>
      </c>
      <c r="CB62">
        <f>+EOMONTH(CA62,1)</f>
        <v>48760</v>
      </c>
      <c r="CC62">
        <f>+EOMONTH(CB62,1)</f>
        <v>48791</v>
      </c>
      <c r="CD62">
        <f>+EOMONTH(CC62,1)</f>
        <v>48822</v>
      </c>
      <c r="CE62">
        <f>+EOMONTH(CD62,1)</f>
        <v>48852</v>
      </c>
      <c r="CF62">
        <f>+EOMONTH(CE62,1)</f>
        <v>48883</v>
      </c>
      <c r="CG62">
        <f>+EOMONTH(CF62,1)</f>
        <v>48913</v>
      </c>
      <c r="CH62">
        <f>+EOMONTH(CG62,1)</f>
        <v>48944</v>
      </c>
      <c r="CI62">
        <f>+EOMONTH(CH62,1)</f>
        <v>48975</v>
      </c>
      <c r="CJ62">
        <f>+EOMONTH(CI62,1)</f>
        <v>49003</v>
      </c>
      <c r="CK62">
        <f>+EOMONTH(CJ62,1)</f>
        <v>49034</v>
      </c>
      <c r="CL62">
        <f>+EOMONTH(CK62,1)</f>
        <v>49064</v>
      </c>
      <c r="CM62">
        <f>+EOMONTH(CL62,1)</f>
        <v>49095</v>
      </c>
      <c r="CN62">
        <f>+EOMONTH(CM62,1)</f>
        <v>49125</v>
      </c>
      <c r="CO62">
        <f>+EOMONTH(CN62,1)</f>
        <v>49156</v>
      </c>
      <c r="CP62">
        <f>+EOMONTH(CO62,1)</f>
        <v>49187</v>
      </c>
      <c r="CQ62">
        <f>+EOMONTH(CP62,1)</f>
        <v>49217</v>
      </c>
      <c r="CR62">
        <f>+EOMONTH(CQ62,1)</f>
        <v>49248</v>
      </c>
      <c r="CS62">
        <f>+EOMONTH(CR62,1)</f>
        <v>49278</v>
      </c>
      <c r="CT62">
        <f>+EOMONTH(CS62,1)</f>
        <v>49309</v>
      </c>
    </row>
    <row r="64">
      <c r="C64" t="str">
        <v>Starting month/date</v>
      </c>
      <c r="D64" t="str">
        <v>Duration</v>
      </c>
      <c r="E64" t="str">
        <v>End Date</v>
      </c>
    </row>
    <row r="65">
      <c r="B65" t="str">
        <v>Acquisition / licensing duration (months)</v>
      </c>
      <c r="C65">
        <v>1</v>
      </c>
      <c r="D65">
        <v>5</v>
      </c>
      <c r="E65">
        <f>+D65+C65</f>
        <v>6</v>
      </c>
    </row>
    <row r="66">
      <c r="B66" t="str">
        <v>Construction duration (months)</v>
      </c>
      <c r="C66">
        <f>+E65</f>
        <v>6</v>
      </c>
      <c r="D66">
        <v>5</v>
      </c>
      <c r="E66">
        <f>+D66+C66</f>
        <v>11</v>
      </c>
    </row>
    <row r="67">
      <c r="B67" t="str">
        <v>Sales start offset from construction start (months)</v>
      </c>
      <c r="C67">
        <f>+E66</f>
        <v>11</v>
      </c>
      <c r="D67">
        <v>5</v>
      </c>
      <c r="E67">
        <f>+D67+C67</f>
        <v>16</v>
      </c>
    </row>
    <row r="68">
      <c r="B68" t="str">
        <v>Sales window duration (months)</v>
      </c>
      <c r="C68">
        <f>+E67</f>
        <v>16</v>
      </c>
      <c r="D68">
        <v>5</v>
      </c>
      <c r="E68">
        <f>+D68+C68</f>
        <v>21</v>
      </c>
    </row>
    <row r="71">
      <c r="B71" t="str">
        <v>5. SALES PAYMENT SCHEDULE (Reservation Profile)</v>
      </c>
    </row>
    <row r="73">
      <c r="C73" t="str">
        <v>Total €</v>
      </c>
      <c r="D73" t="str">
        <v>€/sqm</v>
      </c>
    </row>
    <row r="74">
      <c r="B74" t="str">
        <v>% collected at reservation (pre-sale signing)</v>
      </c>
    </row>
    <row r="75">
      <c r="B75" t="str">
        <v>% collected during construction (progress payments)</v>
      </c>
    </row>
    <row r="76">
      <c r="B76" t="str">
        <v>% collected at delivery (escritura)</v>
      </c>
    </row>
    <row r="77">
      <c r="B77" t="str">
        <v>Delivery offset after construction end (months)</v>
      </c>
    </row>
    <row r="78">
      <c r="B78" t="str">
        <v xml:space="preserve">  Check: should sum to 100%</v>
      </c>
      <c r="C78">
        <f>C74+C75+C76</f>
        <v>0</v>
      </c>
      <c r="D78">
        <f>D74+D75+D76</f>
        <v>0</v>
      </c>
    </row>
  </sheetData>
  <pageMargins left="0.75" right="0.75" top="1" bottom="1" header="0.511811023622047" footer="0.511811023622047"/>
  <ignoredErrors>
    <ignoredError numberStoredAsText="1" sqref="B2:CT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O76"/>
  <sheetViews>
    <sheetView workbookViewId="0" rightToLeft="0"/>
  </sheetViews>
  <sheetData>
    <row r="1">
      <c r="A1" t="str">
        <v>CASH FLOW — MONTHLY (Lender View)</v>
      </c>
    </row>
    <row r="4">
      <c r="B4" t="str">
        <v>LENDER VIEW — KEY METRICS</v>
      </c>
    </row>
    <row r="5">
      <c r="B5" t="str">
        <v>Loan Commitment</v>
      </c>
      <c r="C5">
        <f>Inputs!D55</f>
        <v>0</v>
      </c>
    </row>
    <row r="6">
      <c r="B6" t="str">
        <v>Cumulative Draws (gross)</v>
      </c>
      <c r="C6">
        <f>SUM(H73:BO73)+SUM(H72:BO72)</f>
        <v>0</v>
      </c>
    </row>
    <row r="7">
      <c r="B7" t="str">
        <v>Peak Loan Balance</v>
      </c>
      <c r="C7">
        <f>MAX(H76:BO76)</f>
      </c>
    </row>
    <row r="8">
      <c r="B8" t="str">
        <v>Month of Peak</v>
      </c>
      <c r="C8">
        <f>IFERROR(MATCH(C7,H76:BO76,0),0)</f>
      </c>
    </row>
    <row r="9">
      <c r="B9" t="str">
        <v>Funding Life (months)</v>
      </c>
      <c r="C9">
        <f>COUNTIF(H76:BO76,"&gt;=1")</f>
        <v>0</v>
      </c>
    </row>
    <row r="10">
      <c r="B10" t="str">
        <v>Cumulative Repayments</v>
      </c>
      <c r="C10">
        <f>SUM(H75:BO75)</f>
      </c>
    </row>
    <row r="11">
      <c r="B11" t="str">
        <v>Total PIK Interest</v>
      </c>
      <c r="C11">
        <f>SUM(H74:BO74)</f>
      </c>
    </row>
    <row r="12">
      <c r="B12" t="str">
        <v>Opening Fee</v>
      </c>
      <c r="C12">
        <f>SUM(H72:BO72)</f>
        <v>0</v>
      </c>
    </row>
    <row r="14">
      <c r="B14" t="str">
        <v>P&amp;L (MONTHLY)</v>
      </c>
    </row>
    <row r="15">
      <c r="B15" t="str">
        <v>Line</v>
      </c>
      <c r="C15" t="str">
        <v>Total</v>
      </c>
      <c r="H15">
        <f>H45</f>
        <v>46142</v>
      </c>
      <c r="I15">
        <f>I45</f>
        <v>46173</v>
      </c>
      <c r="J15">
        <f>J45</f>
        <v>46203</v>
      </c>
      <c r="K15">
        <f>K45</f>
        <v>46234</v>
      </c>
      <c r="L15">
        <f>L45</f>
        <v>46265</v>
      </c>
      <c r="M15">
        <f>M45</f>
        <v>46295</v>
      </c>
      <c r="N15">
        <f>N45</f>
        <v>46326</v>
      </c>
      <c r="O15">
        <f>O45</f>
        <v>46356</v>
      </c>
      <c r="P15">
        <f>P45</f>
        <v>46387</v>
      </c>
      <c r="Q15">
        <f>Q45</f>
        <v>46418</v>
      </c>
      <c r="R15">
        <f>R45</f>
        <v>46446</v>
      </c>
      <c r="S15">
        <f>S45</f>
        <v>46477</v>
      </c>
      <c r="T15">
        <f>T45</f>
        <v>46507</v>
      </c>
      <c r="U15">
        <f>U45</f>
        <v>46538</v>
      </c>
      <c r="V15">
        <f>V45</f>
        <v>46568</v>
      </c>
      <c r="W15">
        <f>W45</f>
        <v>46599</v>
      </c>
      <c r="X15">
        <f>X45</f>
        <v>46630</v>
      </c>
      <c r="Y15">
        <f>Y45</f>
        <v>46660</v>
      </c>
      <c r="Z15">
        <f>Z45</f>
        <v>46691</v>
      </c>
      <c r="AA15">
        <f>AA45</f>
        <v>46721</v>
      </c>
      <c r="AB15">
        <f>AB45</f>
        <v>46752</v>
      </c>
      <c r="AC15">
        <f>AC45</f>
        <v>46783</v>
      </c>
      <c r="AD15">
        <f>AD45</f>
        <v>46812</v>
      </c>
      <c r="AE15">
        <f>AE45</f>
        <v>46843</v>
      </c>
      <c r="AF15">
        <f>AF45</f>
        <v>46873</v>
      </c>
      <c r="AG15">
        <f>AG45</f>
        <v>46904</v>
      </c>
      <c r="AH15">
        <f>AH45</f>
        <v>46934</v>
      </c>
      <c r="AI15">
        <f>AI45</f>
        <v>46965</v>
      </c>
      <c r="AJ15">
        <f>AJ45</f>
        <v>46996</v>
      </c>
      <c r="AK15">
        <f>AK45</f>
        <v>47026</v>
      </c>
      <c r="AL15">
        <f>AL45</f>
        <v>47057</v>
      </c>
      <c r="AM15">
        <f>AM45</f>
        <v>47087</v>
      </c>
      <c r="AN15">
        <f>AN45</f>
        <v>47118</v>
      </c>
      <c r="AO15">
        <f>AO45</f>
        <v>47149</v>
      </c>
      <c r="AP15">
        <f>AP45</f>
        <v>47177</v>
      </c>
      <c r="AQ15">
        <f>AQ45</f>
        <v>47208</v>
      </c>
      <c r="AR15">
        <f>AR45</f>
        <v>47238</v>
      </c>
      <c r="AS15">
        <f>AS45</f>
        <v>47269</v>
      </c>
      <c r="AT15">
        <f>AT45</f>
        <v>47299</v>
      </c>
      <c r="AU15">
        <f>AU45</f>
        <v>47330</v>
      </c>
      <c r="AV15">
        <f>AV45</f>
        <v>47361</v>
      </c>
      <c r="AW15">
        <f>AW45</f>
        <v>47391</v>
      </c>
      <c r="AX15">
        <f>AX45</f>
        <v>47422</v>
      </c>
      <c r="AY15">
        <f>AY45</f>
        <v>47452</v>
      </c>
      <c r="AZ15">
        <f>AZ45</f>
        <v>47483</v>
      </c>
      <c r="BA15">
        <f>BA45</f>
        <v>47514</v>
      </c>
      <c r="BB15">
        <f>BB45</f>
        <v>47542</v>
      </c>
      <c r="BC15">
        <f>BC45</f>
        <v>47573</v>
      </c>
      <c r="BD15">
        <f>BD45</f>
        <v>47603</v>
      </c>
      <c r="BE15">
        <f>BE45</f>
        <v>47634</v>
      </c>
      <c r="BF15">
        <f>BF45</f>
        <v>47664</v>
      </c>
      <c r="BG15">
        <f>BG45</f>
        <v>47695</v>
      </c>
      <c r="BH15">
        <f>BH45</f>
        <v>47726</v>
      </c>
      <c r="BI15">
        <f>BI45</f>
        <v>47756</v>
      </c>
      <c r="BJ15">
        <f>BJ45</f>
        <v>47787</v>
      </c>
      <c r="BK15">
        <f>BK45</f>
        <v>47817</v>
      </c>
      <c r="BL15">
        <f>BL45</f>
        <v>47848</v>
      </c>
      <c r="BM15">
        <f>BM45</f>
        <v>47879</v>
      </c>
      <c r="BN15">
        <f>BN45</f>
        <v>47907</v>
      </c>
      <c r="BO15">
        <f>BO45</f>
        <v>47938</v>
      </c>
    </row>
    <row r="16">
      <c r="B16" t="str">
        <v>Revenues (sale proceeds)</v>
      </c>
      <c r="C16">
        <f>SUM(H16:BO16)</f>
        <v>0</v>
      </c>
      <c r="H16">
        <f>H55</f>
        <v>0</v>
      </c>
      <c r="I16">
        <f>I55</f>
        <v>0</v>
      </c>
      <c r="J16">
        <f>J55</f>
        <v>0</v>
      </c>
      <c r="K16">
        <f>K55</f>
        <v>0</v>
      </c>
      <c r="L16">
        <f>L55</f>
        <v>0</v>
      </c>
      <c r="M16">
        <f>M55</f>
        <v>0</v>
      </c>
      <c r="N16">
        <f>N55</f>
        <v>0</v>
      </c>
      <c r="O16">
        <f>O55</f>
        <v>0</v>
      </c>
      <c r="P16">
        <f>P55</f>
        <v>0</v>
      </c>
      <c r="Q16">
        <f>Q55</f>
        <v>0</v>
      </c>
      <c r="R16">
        <f>R55</f>
        <v>0</v>
      </c>
      <c r="S16">
        <f>S55</f>
        <v>0</v>
      </c>
      <c r="T16">
        <f>T55</f>
        <v>0</v>
      </c>
      <c r="U16">
        <f>U55</f>
        <v>0</v>
      </c>
      <c r="V16">
        <f>V55</f>
        <v>0</v>
      </c>
      <c r="W16">
        <f>W55</f>
        <v>0</v>
      </c>
      <c r="X16">
        <f>X55</f>
        <v>0</v>
      </c>
      <c r="Y16">
        <f>Y55</f>
        <v>0</v>
      </c>
      <c r="Z16">
        <f>Z55</f>
        <v>0</v>
      </c>
      <c r="AA16">
        <f>AA55</f>
        <v>0</v>
      </c>
      <c r="AB16">
        <f>AB55</f>
        <v>0</v>
      </c>
      <c r="AC16">
        <f>AC55</f>
        <v>0</v>
      </c>
      <c r="AD16">
        <f>AD55</f>
        <v>0</v>
      </c>
      <c r="AE16">
        <f>AE55</f>
        <v>0</v>
      </c>
      <c r="AF16">
        <f>AF55</f>
        <v>0</v>
      </c>
      <c r="AG16">
        <f>AG55</f>
        <v>0</v>
      </c>
      <c r="AH16">
        <f>AH55</f>
        <v>0</v>
      </c>
      <c r="AI16">
        <f>AI55</f>
        <v>0</v>
      </c>
      <c r="AJ16">
        <f>AJ55</f>
        <v>0</v>
      </c>
      <c r="AK16">
        <f>AK55</f>
        <v>0</v>
      </c>
      <c r="AL16">
        <f>AL55</f>
        <v>0</v>
      </c>
      <c r="AM16">
        <f>AM55</f>
        <v>0</v>
      </c>
      <c r="AN16">
        <f>AN55</f>
        <v>0</v>
      </c>
      <c r="AO16">
        <f>AO55</f>
        <v>0</v>
      </c>
      <c r="AP16">
        <f>AP55</f>
        <v>0</v>
      </c>
      <c r="AQ16">
        <f>AQ55</f>
        <v>0</v>
      </c>
      <c r="AR16">
        <f>AR55</f>
        <v>0</v>
      </c>
      <c r="AS16">
        <f>AS55</f>
        <v>0</v>
      </c>
      <c r="AT16">
        <f>AT55</f>
        <v>0</v>
      </c>
      <c r="AU16">
        <f>AU55</f>
        <v>0</v>
      </c>
      <c r="AV16">
        <f>AV55</f>
        <v>0</v>
      </c>
      <c r="AW16">
        <f>AW55</f>
        <v>0</v>
      </c>
      <c r="AX16">
        <f>AX55</f>
        <v>0</v>
      </c>
      <c r="AY16">
        <f>AY55</f>
        <v>0</v>
      </c>
      <c r="AZ16">
        <f>AZ55</f>
        <v>0</v>
      </c>
      <c r="BA16">
        <f>BA55</f>
        <v>0</v>
      </c>
      <c r="BB16">
        <f>BB55</f>
        <v>0</v>
      </c>
      <c r="BC16">
        <f>BC55</f>
        <v>0</v>
      </c>
      <c r="BD16">
        <f>BD55</f>
        <v>0</v>
      </c>
      <c r="BE16">
        <f>BE55</f>
        <v>0</v>
      </c>
      <c r="BF16">
        <f>BF55</f>
        <v>0</v>
      </c>
      <c r="BG16">
        <f>BG55</f>
        <v>0</v>
      </c>
      <c r="BH16">
        <f>BH55</f>
        <v>0</v>
      </c>
      <c r="BI16">
        <f>BI55</f>
        <v>0</v>
      </c>
      <c r="BJ16">
        <f>BJ55</f>
        <v>0</v>
      </c>
      <c r="BK16">
        <f>BK55</f>
        <v>0</v>
      </c>
      <c r="BL16">
        <f>BL55</f>
        <v>0</v>
      </c>
      <c r="BM16">
        <f>BM55</f>
        <v>0</v>
      </c>
      <c r="BN16">
        <f>BN55</f>
        <v>0</v>
      </c>
      <c r="BO16">
        <f>BO55</f>
        <v>0</v>
      </c>
    </row>
    <row r="18">
      <c r="B18" t="str">
        <v>Acquisition cost</v>
      </c>
      <c r="C18">
        <f>SUM(H18:BO18)</f>
        <v>0</v>
      </c>
      <c r="H18">
        <f>-H48</f>
        <v>0</v>
      </c>
      <c r="I18">
        <f>-I48</f>
        <v>0</v>
      </c>
      <c r="J18">
        <f>-J48</f>
        <v>0</v>
      </c>
      <c r="K18">
        <f>-K48</f>
        <v>0</v>
      </c>
      <c r="L18">
        <f>-L48</f>
        <v>0</v>
      </c>
      <c r="M18">
        <f>-M48</f>
        <v>0</v>
      </c>
      <c r="N18">
        <f>-N48</f>
        <v>0</v>
      </c>
      <c r="O18">
        <f>-O48</f>
        <v>0</v>
      </c>
      <c r="P18">
        <f>-P48</f>
        <v>0</v>
      </c>
      <c r="Q18">
        <f>-Q48</f>
        <v>0</v>
      </c>
      <c r="R18">
        <f>-R48</f>
        <v>0</v>
      </c>
      <c r="S18">
        <f>-S48</f>
        <v>0</v>
      </c>
      <c r="T18">
        <f>-T48</f>
        <v>0</v>
      </c>
      <c r="U18">
        <f>-U48</f>
        <v>0</v>
      </c>
      <c r="V18">
        <f>-V48</f>
        <v>0</v>
      </c>
      <c r="W18">
        <f>-W48</f>
        <v>0</v>
      </c>
      <c r="X18">
        <f>-X48</f>
        <v>0</v>
      </c>
      <c r="Y18">
        <f>-Y48</f>
        <v>0</v>
      </c>
      <c r="Z18">
        <f>-Z48</f>
        <v>0</v>
      </c>
      <c r="AA18">
        <f>-AA48</f>
        <v>0</v>
      </c>
      <c r="AB18">
        <f>-AB48</f>
        <v>0</v>
      </c>
      <c r="AC18">
        <f>-AC48</f>
        <v>0</v>
      </c>
      <c r="AD18">
        <f>-AD48</f>
        <v>0</v>
      </c>
      <c r="AE18">
        <f>-AE48</f>
        <v>0</v>
      </c>
      <c r="AF18">
        <f>-AF48</f>
        <v>0</v>
      </c>
      <c r="AG18">
        <f>-AG48</f>
        <v>0</v>
      </c>
      <c r="AH18">
        <f>-AH48</f>
        <v>0</v>
      </c>
      <c r="AI18">
        <f>-AI48</f>
        <v>0</v>
      </c>
      <c r="AJ18">
        <f>-AJ48</f>
        <v>0</v>
      </c>
      <c r="AK18">
        <f>-AK48</f>
        <v>0</v>
      </c>
      <c r="AL18">
        <f>-AL48</f>
        <v>0</v>
      </c>
      <c r="AM18">
        <f>-AM48</f>
        <v>0</v>
      </c>
      <c r="AN18">
        <f>-AN48</f>
        <v>0</v>
      </c>
      <c r="AO18">
        <f>-AO48</f>
        <v>0</v>
      </c>
      <c r="AP18">
        <f>-AP48</f>
        <v>0</v>
      </c>
      <c r="AQ18">
        <f>-AQ48</f>
        <v>0</v>
      </c>
      <c r="AR18">
        <f>-AR48</f>
        <v>0</v>
      </c>
      <c r="AS18">
        <f>-AS48</f>
        <v>0</v>
      </c>
      <c r="AT18">
        <f>-AT48</f>
        <v>0</v>
      </c>
      <c r="AU18">
        <f>-AU48</f>
        <v>0</v>
      </c>
      <c r="AV18">
        <f>-AV48</f>
        <v>0</v>
      </c>
      <c r="AW18">
        <f>-AW48</f>
        <v>0</v>
      </c>
      <c r="AX18">
        <f>-AX48</f>
        <v>0</v>
      </c>
      <c r="AY18">
        <f>-AY48</f>
        <v>0</v>
      </c>
      <c r="AZ18">
        <f>-AZ48</f>
        <v>0</v>
      </c>
      <c r="BA18">
        <f>-BA48</f>
        <v>0</v>
      </c>
      <c r="BB18">
        <f>-BB48</f>
        <v>0</v>
      </c>
      <c r="BC18">
        <f>-BC48</f>
        <v>0</v>
      </c>
      <c r="BD18">
        <f>-BD48</f>
        <v>0</v>
      </c>
      <c r="BE18">
        <f>-BE48</f>
        <v>0</v>
      </c>
      <c r="BF18">
        <f>-BF48</f>
        <v>0</v>
      </c>
      <c r="BG18">
        <f>-BG48</f>
        <v>0</v>
      </c>
      <c r="BH18">
        <f>-BH48</f>
        <v>0</v>
      </c>
      <c r="BI18">
        <f>-BI48</f>
        <v>0</v>
      </c>
      <c r="BJ18">
        <f>-BJ48</f>
        <v>0</v>
      </c>
      <c r="BK18">
        <f>-BK48</f>
        <v>0</v>
      </c>
      <c r="BL18">
        <f>-BL48</f>
        <v>0</v>
      </c>
      <c r="BM18">
        <f>-BM48</f>
        <v>0</v>
      </c>
      <c r="BN18">
        <f>-BN48</f>
        <v>0</v>
      </c>
      <c r="BO18">
        <f>-BO48</f>
        <v>0</v>
      </c>
    </row>
    <row r="19">
      <c r="B19" t="str">
        <v>Hard costs</v>
      </c>
      <c r="C19">
        <f>SUM(H19:BO19)</f>
        <v>0</v>
      </c>
      <c r="H19">
        <f>-IF(AND(H$44&gt;Inputs!$D$65,H$44&lt;=Inputs!$D$65+Inputs!$D$66,Inputs!$D$66&gt;0),Inputs!$D$28*Inputs!$C$15/Inputs!$D$66,0)</f>
        <v>0</v>
      </c>
      <c r="I19">
        <f>-IF(AND(I$44&gt;Inputs!$D$65,I$44&lt;=Inputs!$D$65+Inputs!$D$66,Inputs!$D$66&gt;0),Inputs!$D$28*Inputs!$C$15/Inputs!$D$66,0)</f>
        <v>0</v>
      </c>
      <c r="J19">
        <f>-IF(AND(J$44&gt;Inputs!$D$65,J$44&lt;=Inputs!$D$65+Inputs!$D$66,Inputs!$D$66&gt;0),Inputs!$D$28*Inputs!$C$15/Inputs!$D$66,0)</f>
        <v>0</v>
      </c>
      <c r="K19">
        <f>-IF(AND(K$44&gt;Inputs!$D$65,K$44&lt;=Inputs!$D$65+Inputs!$D$66,Inputs!$D$66&gt;0),Inputs!$D$28*Inputs!$C$15/Inputs!$D$66,0)</f>
        <v>0</v>
      </c>
      <c r="L19">
        <f>-IF(AND(L$44&gt;Inputs!$D$65,L$44&lt;=Inputs!$D$65+Inputs!$D$66,Inputs!$D$66&gt;0),Inputs!$D$28*Inputs!$C$15/Inputs!$D$66,0)</f>
        <v>0</v>
      </c>
      <c r="M19">
        <f>-IF(AND(M$44&gt;Inputs!$D$65,M$44&lt;=Inputs!$D$65+Inputs!$D$66,Inputs!$D$66&gt;0),Inputs!$D$28*Inputs!$C$15/Inputs!$D$66,0)</f>
        <v>0</v>
      </c>
      <c r="N19">
        <f>-IF(AND(N$44&gt;Inputs!$D$65,N$44&lt;=Inputs!$D$65+Inputs!$D$66,Inputs!$D$66&gt;0),Inputs!$D$28*Inputs!$C$15/Inputs!$D$66,0)</f>
        <v>0</v>
      </c>
      <c r="O19">
        <f>-IF(AND(O$44&gt;Inputs!$D$65,O$44&lt;=Inputs!$D$65+Inputs!$D$66,Inputs!$D$66&gt;0),Inputs!$D$28*Inputs!$C$15/Inputs!$D$66,0)</f>
        <v>0</v>
      </c>
      <c r="P19">
        <f>-IF(AND(P$44&gt;Inputs!$D$65,P$44&lt;=Inputs!$D$65+Inputs!$D$66,Inputs!$D$66&gt;0),Inputs!$D$28*Inputs!$C$15/Inputs!$D$66,0)</f>
        <v>0</v>
      </c>
      <c r="Q19">
        <f>-IF(AND(Q$44&gt;Inputs!$D$65,Q$44&lt;=Inputs!$D$65+Inputs!$D$66,Inputs!$D$66&gt;0),Inputs!$D$28*Inputs!$C$15/Inputs!$D$66,0)</f>
        <v>0</v>
      </c>
      <c r="R19">
        <f>-IF(AND(R$44&gt;Inputs!$D$65,R$44&lt;=Inputs!$D$65+Inputs!$D$66,Inputs!$D$66&gt;0),Inputs!$D$28*Inputs!$C$15/Inputs!$D$66,0)</f>
        <v>0</v>
      </c>
      <c r="S19">
        <f>-IF(AND(S$44&gt;Inputs!$D$65,S$44&lt;=Inputs!$D$65+Inputs!$D$66,Inputs!$D$66&gt;0),Inputs!$D$28*Inputs!$C$15/Inputs!$D$66,0)</f>
        <v>0</v>
      </c>
      <c r="T19">
        <f>-IF(AND(T$44&gt;Inputs!$D$65,T$44&lt;=Inputs!$D$65+Inputs!$D$66,Inputs!$D$66&gt;0),Inputs!$D$28*Inputs!$C$15/Inputs!$D$66,0)</f>
        <v>0</v>
      </c>
      <c r="U19">
        <f>-IF(AND(U$44&gt;Inputs!$D$65,U$44&lt;=Inputs!$D$65+Inputs!$D$66,Inputs!$D$66&gt;0),Inputs!$D$28*Inputs!$C$15/Inputs!$D$66,0)</f>
        <v>0</v>
      </c>
      <c r="V19">
        <f>-IF(AND(V$44&gt;Inputs!$D$65,V$44&lt;=Inputs!$D$65+Inputs!$D$66,Inputs!$D$66&gt;0),Inputs!$D$28*Inputs!$C$15/Inputs!$D$66,0)</f>
        <v>0</v>
      </c>
      <c r="W19">
        <f>-IF(AND(W$44&gt;Inputs!$D$65,W$44&lt;=Inputs!$D$65+Inputs!$D$66,Inputs!$D$66&gt;0),Inputs!$D$28*Inputs!$C$15/Inputs!$D$66,0)</f>
        <v>0</v>
      </c>
      <c r="X19">
        <f>-IF(AND(X$44&gt;Inputs!$D$65,X$44&lt;=Inputs!$D$65+Inputs!$D$66,Inputs!$D$66&gt;0),Inputs!$D$28*Inputs!$C$15/Inputs!$D$66,0)</f>
        <v>0</v>
      </c>
      <c r="Y19">
        <f>-IF(AND(Y$44&gt;Inputs!$D$65,Y$44&lt;=Inputs!$D$65+Inputs!$D$66,Inputs!$D$66&gt;0),Inputs!$D$28*Inputs!$C$15/Inputs!$D$66,0)</f>
        <v>0</v>
      </c>
      <c r="Z19">
        <f>-IF(AND(Z$44&gt;Inputs!$D$65,Z$44&lt;=Inputs!$D$65+Inputs!$D$66,Inputs!$D$66&gt;0),Inputs!$D$28*Inputs!$C$15/Inputs!$D$66,0)</f>
        <v>0</v>
      </c>
      <c r="AA19">
        <f>-IF(AND(AA$44&gt;Inputs!$D$65,AA$44&lt;=Inputs!$D$65+Inputs!$D$66,Inputs!$D$66&gt;0),Inputs!$D$28*Inputs!$C$15/Inputs!$D$66,0)</f>
        <v>0</v>
      </c>
      <c r="AB19">
        <f>-IF(AND(AB$44&gt;Inputs!$D$65,AB$44&lt;=Inputs!$D$65+Inputs!$D$66,Inputs!$D$66&gt;0),Inputs!$D$28*Inputs!$C$15/Inputs!$D$66,0)</f>
        <v>0</v>
      </c>
      <c r="AC19">
        <f>-IF(AND(AC$44&gt;Inputs!$D$65,AC$44&lt;=Inputs!$D$65+Inputs!$D$66,Inputs!$D$66&gt;0),Inputs!$D$28*Inputs!$C$15/Inputs!$D$66,0)</f>
        <v>0</v>
      </c>
      <c r="AD19">
        <f>-IF(AND(AD$44&gt;Inputs!$D$65,AD$44&lt;=Inputs!$D$65+Inputs!$D$66,Inputs!$D$66&gt;0),Inputs!$D$28*Inputs!$C$15/Inputs!$D$66,0)</f>
        <v>0</v>
      </c>
      <c r="AE19">
        <f>-IF(AND(AE$44&gt;Inputs!$D$65,AE$44&lt;=Inputs!$D$65+Inputs!$D$66,Inputs!$D$66&gt;0),Inputs!$D$28*Inputs!$C$15/Inputs!$D$66,0)</f>
        <v>0</v>
      </c>
      <c r="AF19">
        <f>-IF(AND(AF$44&gt;Inputs!$D$65,AF$44&lt;=Inputs!$D$65+Inputs!$D$66,Inputs!$D$66&gt;0),Inputs!$D$28*Inputs!$C$15/Inputs!$D$66,0)</f>
        <v>0</v>
      </c>
      <c r="AG19">
        <f>-IF(AND(AG$44&gt;Inputs!$D$65,AG$44&lt;=Inputs!$D$65+Inputs!$D$66,Inputs!$D$66&gt;0),Inputs!$D$28*Inputs!$C$15/Inputs!$D$66,0)</f>
        <v>0</v>
      </c>
      <c r="AH19">
        <f>-IF(AND(AH$44&gt;Inputs!$D$65,AH$44&lt;=Inputs!$D$65+Inputs!$D$66,Inputs!$D$66&gt;0),Inputs!$D$28*Inputs!$C$15/Inputs!$D$66,0)</f>
        <v>0</v>
      </c>
      <c r="AI19">
        <f>-IF(AND(AI$44&gt;Inputs!$D$65,AI$44&lt;=Inputs!$D$65+Inputs!$D$66,Inputs!$D$66&gt;0),Inputs!$D$28*Inputs!$C$15/Inputs!$D$66,0)</f>
        <v>0</v>
      </c>
      <c r="AJ19">
        <f>-IF(AND(AJ$44&gt;Inputs!$D$65,AJ$44&lt;=Inputs!$D$65+Inputs!$D$66,Inputs!$D$66&gt;0),Inputs!$D$28*Inputs!$C$15/Inputs!$D$66,0)</f>
        <v>0</v>
      </c>
      <c r="AK19">
        <f>-IF(AND(AK$44&gt;Inputs!$D$65,AK$44&lt;=Inputs!$D$65+Inputs!$D$66,Inputs!$D$66&gt;0),Inputs!$D$28*Inputs!$C$15/Inputs!$D$66,0)</f>
        <v>0</v>
      </c>
      <c r="AL19">
        <f>-IF(AND(AL$44&gt;Inputs!$D$65,AL$44&lt;=Inputs!$D$65+Inputs!$D$66,Inputs!$D$66&gt;0),Inputs!$D$28*Inputs!$C$15/Inputs!$D$66,0)</f>
        <v>0</v>
      </c>
      <c r="AM19">
        <f>-IF(AND(AM$44&gt;Inputs!$D$65,AM$44&lt;=Inputs!$D$65+Inputs!$D$66,Inputs!$D$66&gt;0),Inputs!$D$28*Inputs!$C$15/Inputs!$D$66,0)</f>
        <v>0</v>
      </c>
      <c r="AN19">
        <f>-IF(AND(AN$44&gt;Inputs!$D$65,AN$44&lt;=Inputs!$D$65+Inputs!$D$66,Inputs!$D$66&gt;0),Inputs!$D$28*Inputs!$C$15/Inputs!$D$66,0)</f>
        <v>0</v>
      </c>
      <c r="AO19">
        <f>-IF(AND(AO$44&gt;Inputs!$D$65,AO$44&lt;=Inputs!$D$65+Inputs!$D$66,Inputs!$D$66&gt;0),Inputs!$D$28*Inputs!$C$15/Inputs!$D$66,0)</f>
        <v>0</v>
      </c>
      <c r="AP19">
        <f>-IF(AND(AP$44&gt;Inputs!$D$65,AP$44&lt;=Inputs!$D$65+Inputs!$D$66,Inputs!$D$66&gt;0),Inputs!$D$28*Inputs!$C$15/Inputs!$D$66,0)</f>
        <v>0</v>
      </c>
      <c r="AQ19">
        <f>-IF(AND(AQ$44&gt;Inputs!$D$65,AQ$44&lt;=Inputs!$D$65+Inputs!$D$66,Inputs!$D$66&gt;0),Inputs!$D$28*Inputs!$C$15/Inputs!$D$66,0)</f>
        <v>0</v>
      </c>
      <c r="AR19">
        <f>-IF(AND(AR$44&gt;Inputs!$D$65,AR$44&lt;=Inputs!$D$65+Inputs!$D$66,Inputs!$D$66&gt;0),Inputs!$D$28*Inputs!$C$15/Inputs!$D$66,0)</f>
        <v>0</v>
      </c>
      <c r="AS19">
        <f>-IF(AND(AS$44&gt;Inputs!$D$65,AS$44&lt;=Inputs!$D$65+Inputs!$D$66,Inputs!$D$66&gt;0),Inputs!$D$28*Inputs!$C$15/Inputs!$D$66,0)</f>
        <v>0</v>
      </c>
      <c r="AT19">
        <f>-IF(AND(AT$44&gt;Inputs!$D$65,AT$44&lt;=Inputs!$D$65+Inputs!$D$66,Inputs!$D$66&gt;0),Inputs!$D$28*Inputs!$C$15/Inputs!$D$66,0)</f>
        <v>0</v>
      </c>
      <c r="AU19">
        <f>-IF(AND(AU$44&gt;Inputs!$D$65,AU$44&lt;=Inputs!$D$65+Inputs!$D$66,Inputs!$D$66&gt;0),Inputs!$D$28*Inputs!$C$15/Inputs!$D$66,0)</f>
        <v>0</v>
      </c>
      <c r="AV19">
        <f>-IF(AND(AV$44&gt;Inputs!$D$65,AV$44&lt;=Inputs!$D$65+Inputs!$D$66,Inputs!$D$66&gt;0),Inputs!$D$28*Inputs!$C$15/Inputs!$D$66,0)</f>
        <v>0</v>
      </c>
      <c r="AW19">
        <f>-IF(AND(AW$44&gt;Inputs!$D$65,AW$44&lt;=Inputs!$D$65+Inputs!$D$66,Inputs!$D$66&gt;0),Inputs!$D$28*Inputs!$C$15/Inputs!$D$66,0)</f>
        <v>0</v>
      </c>
      <c r="AX19">
        <f>-IF(AND(AX$44&gt;Inputs!$D$65,AX$44&lt;=Inputs!$D$65+Inputs!$D$66,Inputs!$D$66&gt;0),Inputs!$D$28*Inputs!$C$15/Inputs!$D$66,0)</f>
        <v>0</v>
      </c>
      <c r="AY19">
        <f>-IF(AND(AY$44&gt;Inputs!$D$65,AY$44&lt;=Inputs!$D$65+Inputs!$D$66,Inputs!$D$66&gt;0),Inputs!$D$28*Inputs!$C$15/Inputs!$D$66,0)</f>
        <v>0</v>
      </c>
      <c r="AZ19">
        <f>-IF(AND(AZ$44&gt;Inputs!$D$65,AZ$44&lt;=Inputs!$D$65+Inputs!$D$66,Inputs!$D$66&gt;0),Inputs!$D$28*Inputs!$C$15/Inputs!$D$66,0)</f>
        <v>0</v>
      </c>
      <c r="BA19">
        <f>-IF(AND(BA$44&gt;Inputs!$D$65,BA$44&lt;=Inputs!$D$65+Inputs!$D$66,Inputs!$D$66&gt;0),Inputs!$D$28*Inputs!$C$15/Inputs!$D$66,0)</f>
        <v>0</v>
      </c>
      <c r="BB19">
        <f>-IF(AND(BB$44&gt;Inputs!$D$65,BB$44&lt;=Inputs!$D$65+Inputs!$D$66,Inputs!$D$66&gt;0),Inputs!$D$28*Inputs!$C$15/Inputs!$D$66,0)</f>
        <v>0</v>
      </c>
      <c r="BC19">
        <f>-IF(AND(BC$44&gt;Inputs!$D$65,BC$44&lt;=Inputs!$D$65+Inputs!$D$66,Inputs!$D$66&gt;0),Inputs!$D$28*Inputs!$C$15/Inputs!$D$66,0)</f>
        <v>0</v>
      </c>
      <c r="BD19">
        <f>-IF(AND(BD$44&gt;Inputs!$D$65,BD$44&lt;=Inputs!$D$65+Inputs!$D$66,Inputs!$D$66&gt;0),Inputs!$D$28*Inputs!$C$15/Inputs!$D$66,0)</f>
        <v>0</v>
      </c>
      <c r="BE19">
        <f>-IF(AND(BE$44&gt;Inputs!$D$65,BE$44&lt;=Inputs!$D$65+Inputs!$D$66,Inputs!$D$66&gt;0),Inputs!$D$28*Inputs!$C$15/Inputs!$D$66,0)</f>
        <v>0</v>
      </c>
      <c r="BF19">
        <f>-IF(AND(BF$44&gt;Inputs!$D$65,BF$44&lt;=Inputs!$D$65+Inputs!$D$66,Inputs!$D$66&gt;0),Inputs!$D$28*Inputs!$C$15/Inputs!$D$66,0)</f>
        <v>0</v>
      </c>
      <c r="BG19">
        <f>-IF(AND(BG$44&gt;Inputs!$D$65,BG$44&lt;=Inputs!$D$65+Inputs!$D$66,Inputs!$D$66&gt;0),Inputs!$D$28*Inputs!$C$15/Inputs!$D$66,0)</f>
        <v>0</v>
      </c>
      <c r="BH19">
        <f>-IF(AND(BH$44&gt;Inputs!$D$65,BH$44&lt;=Inputs!$D$65+Inputs!$D$66,Inputs!$D$66&gt;0),Inputs!$D$28*Inputs!$C$15/Inputs!$D$66,0)</f>
        <v>0</v>
      </c>
      <c r="BI19">
        <f>-IF(AND(BI$44&gt;Inputs!$D$65,BI$44&lt;=Inputs!$D$65+Inputs!$D$66,Inputs!$D$66&gt;0),Inputs!$D$28*Inputs!$C$15/Inputs!$D$66,0)</f>
        <v>0</v>
      </c>
      <c r="BJ19">
        <f>-IF(AND(BJ$44&gt;Inputs!$D$65,BJ$44&lt;=Inputs!$D$65+Inputs!$D$66,Inputs!$D$66&gt;0),Inputs!$D$28*Inputs!$C$15/Inputs!$D$66,0)</f>
        <v>0</v>
      </c>
      <c r="BK19">
        <f>-IF(AND(BK$44&gt;Inputs!$D$65,BK$44&lt;=Inputs!$D$65+Inputs!$D$66,Inputs!$D$66&gt;0),Inputs!$D$28*Inputs!$C$15/Inputs!$D$66,0)</f>
        <v>0</v>
      </c>
      <c r="BL19">
        <f>-IF(AND(BL$44&gt;Inputs!$D$65,BL$44&lt;=Inputs!$D$65+Inputs!$D$66,Inputs!$D$66&gt;0),Inputs!$D$28*Inputs!$C$15/Inputs!$D$66,0)</f>
        <v>0</v>
      </c>
      <c r="BM19">
        <f>-IF(AND(BM$44&gt;Inputs!$D$65,BM$44&lt;=Inputs!$D$65+Inputs!$D$66,Inputs!$D$66&gt;0),Inputs!$D$28*Inputs!$C$15/Inputs!$D$66,0)</f>
        <v>0</v>
      </c>
      <c r="BN19">
        <f>-IF(AND(BN$44&gt;Inputs!$D$65,BN$44&lt;=Inputs!$D$65+Inputs!$D$66,Inputs!$D$66&gt;0),Inputs!$D$28*Inputs!$C$15/Inputs!$D$66,0)</f>
        <v>0</v>
      </c>
      <c r="BO19">
        <f>-IF(AND(BO$44&gt;Inputs!$D$65,BO$44&lt;=Inputs!$D$65+Inputs!$D$66,Inputs!$D$66&gt;0),Inputs!$D$28*Inputs!$C$15/Inputs!$D$66,0)</f>
        <v>0</v>
      </c>
    </row>
    <row r="20">
      <c r="B20" t="str">
        <v>Soft costs</v>
      </c>
      <c r="C20">
        <f>SUM(H20:BO20)</f>
        <v>0</v>
      </c>
      <c r="H20">
        <f>-IF(AND(H$44&gt;Inputs!$D$65,H$44&lt;=Inputs!$D$65+Inputs!$D$66,Inputs!$D$66&gt;0),Inputs!$D$29*Inputs!$C$15/Inputs!$D$66,0)</f>
        <v>0</v>
      </c>
      <c r="I20">
        <f>-IF(AND(I$44&gt;Inputs!$D$65,I$44&lt;=Inputs!$D$65+Inputs!$D$66,Inputs!$D$66&gt;0),Inputs!$D$29*Inputs!$C$15/Inputs!$D$66,0)</f>
        <v>0</v>
      </c>
      <c r="J20">
        <f>-IF(AND(J$44&gt;Inputs!$D$65,J$44&lt;=Inputs!$D$65+Inputs!$D$66,Inputs!$D$66&gt;0),Inputs!$D$29*Inputs!$C$15/Inputs!$D$66,0)</f>
        <v>0</v>
      </c>
      <c r="K20">
        <f>-IF(AND(K$44&gt;Inputs!$D$65,K$44&lt;=Inputs!$D$65+Inputs!$D$66,Inputs!$D$66&gt;0),Inputs!$D$29*Inputs!$C$15/Inputs!$D$66,0)</f>
        <v>0</v>
      </c>
      <c r="L20">
        <f>-IF(AND(L$44&gt;Inputs!$D$65,L$44&lt;=Inputs!$D$65+Inputs!$D$66,Inputs!$D$66&gt;0),Inputs!$D$29*Inputs!$C$15/Inputs!$D$66,0)</f>
        <v>0</v>
      </c>
      <c r="M20">
        <f>-IF(AND(M$44&gt;Inputs!$D$65,M$44&lt;=Inputs!$D$65+Inputs!$D$66,Inputs!$D$66&gt;0),Inputs!$D$29*Inputs!$C$15/Inputs!$D$66,0)</f>
        <v>0</v>
      </c>
      <c r="N20">
        <f>-IF(AND(N$44&gt;Inputs!$D$65,N$44&lt;=Inputs!$D$65+Inputs!$D$66,Inputs!$D$66&gt;0),Inputs!$D$29*Inputs!$C$15/Inputs!$D$66,0)</f>
        <v>0</v>
      </c>
      <c r="O20">
        <f>-IF(AND(O$44&gt;Inputs!$D$65,O$44&lt;=Inputs!$D$65+Inputs!$D$66,Inputs!$D$66&gt;0),Inputs!$D$29*Inputs!$C$15/Inputs!$D$66,0)</f>
        <v>0</v>
      </c>
      <c r="P20">
        <f>-IF(AND(P$44&gt;Inputs!$D$65,P$44&lt;=Inputs!$D$65+Inputs!$D$66,Inputs!$D$66&gt;0),Inputs!$D$29*Inputs!$C$15/Inputs!$D$66,0)</f>
        <v>0</v>
      </c>
      <c r="Q20">
        <f>-IF(AND(Q$44&gt;Inputs!$D$65,Q$44&lt;=Inputs!$D$65+Inputs!$D$66,Inputs!$D$66&gt;0),Inputs!$D$29*Inputs!$C$15/Inputs!$D$66,0)</f>
        <v>0</v>
      </c>
      <c r="R20">
        <f>-IF(AND(R$44&gt;Inputs!$D$65,R$44&lt;=Inputs!$D$65+Inputs!$D$66,Inputs!$D$66&gt;0),Inputs!$D$29*Inputs!$C$15/Inputs!$D$66,0)</f>
        <v>0</v>
      </c>
      <c r="S20">
        <f>-IF(AND(S$44&gt;Inputs!$D$65,S$44&lt;=Inputs!$D$65+Inputs!$D$66,Inputs!$D$66&gt;0),Inputs!$D$29*Inputs!$C$15/Inputs!$D$66,0)</f>
        <v>0</v>
      </c>
      <c r="T20">
        <f>-IF(AND(T$44&gt;Inputs!$D$65,T$44&lt;=Inputs!$D$65+Inputs!$D$66,Inputs!$D$66&gt;0),Inputs!$D$29*Inputs!$C$15/Inputs!$D$66,0)</f>
        <v>0</v>
      </c>
      <c r="U20">
        <f>-IF(AND(U$44&gt;Inputs!$D$65,U$44&lt;=Inputs!$D$65+Inputs!$D$66,Inputs!$D$66&gt;0),Inputs!$D$29*Inputs!$C$15/Inputs!$D$66,0)</f>
        <v>0</v>
      </c>
      <c r="V20">
        <f>-IF(AND(V$44&gt;Inputs!$D$65,V$44&lt;=Inputs!$D$65+Inputs!$D$66,Inputs!$D$66&gt;0),Inputs!$D$29*Inputs!$C$15/Inputs!$D$66,0)</f>
        <v>0</v>
      </c>
      <c r="W20">
        <f>-IF(AND(W$44&gt;Inputs!$D$65,W$44&lt;=Inputs!$D$65+Inputs!$D$66,Inputs!$D$66&gt;0),Inputs!$D$29*Inputs!$C$15/Inputs!$D$66,0)</f>
        <v>0</v>
      </c>
      <c r="X20">
        <f>-IF(AND(X$44&gt;Inputs!$D$65,X$44&lt;=Inputs!$D$65+Inputs!$D$66,Inputs!$D$66&gt;0),Inputs!$D$29*Inputs!$C$15/Inputs!$D$66,0)</f>
        <v>0</v>
      </c>
      <c r="Y20">
        <f>-IF(AND(Y$44&gt;Inputs!$D$65,Y$44&lt;=Inputs!$D$65+Inputs!$D$66,Inputs!$D$66&gt;0),Inputs!$D$29*Inputs!$C$15/Inputs!$D$66,0)</f>
        <v>0</v>
      </c>
      <c r="Z20">
        <f>-IF(AND(Z$44&gt;Inputs!$D$65,Z$44&lt;=Inputs!$D$65+Inputs!$D$66,Inputs!$D$66&gt;0),Inputs!$D$29*Inputs!$C$15/Inputs!$D$66,0)</f>
        <v>0</v>
      </c>
      <c r="AA20">
        <f>-IF(AND(AA$44&gt;Inputs!$D$65,AA$44&lt;=Inputs!$D$65+Inputs!$D$66,Inputs!$D$66&gt;0),Inputs!$D$29*Inputs!$C$15/Inputs!$D$66,0)</f>
        <v>0</v>
      </c>
      <c r="AB20">
        <f>-IF(AND(AB$44&gt;Inputs!$D$65,AB$44&lt;=Inputs!$D$65+Inputs!$D$66,Inputs!$D$66&gt;0),Inputs!$D$29*Inputs!$C$15/Inputs!$D$66,0)</f>
        <v>0</v>
      </c>
      <c r="AC20">
        <f>-IF(AND(AC$44&gt;Inputs!$D$65,AC$44&lt;=Inputs!$D$65+Inputs!$D$66,Inputs!$D$66&gt;0),Inputs!$D$29*Inputs!$C$15/Inputs!$D$66,0)</f>
        <v>0</v>
      </c>
      <c r="AD20">
        <f>-IF(AND(AD$44&gt;Inputs!$D$65,AD$44&lt;=Inputs!$D$65+Inputs!$D$66,Inputs!$D$66&gt;0),Inputs!$D$29*Inputs!$C$15/Inputs!$D$66,0)</f>
        <v>0</v>
      </c>
      <c r="AE20">
        <f>-IF(AND(AE$44&gt;Inputs!$D$65,AE$44&lt;=Inputs!$D$65+Inputs!$D$66,Inputs!$D$66&gt;0),Inputs!$D$29*Inputs!$C$15/Inputs!$D$66,0)</f>
        <v>0</v>
      </c>
      <c r="AF20">
        <f>-IF(AND(AF$44&gt;Inputs!$D$65,AF$44&lt;=Inputs!$D$65+Inputs!$D$66,Inputs!$D$66&gt;0),Inputs!$D$29*Inputs!$C$15/Inputs!$D$66,0)</f>
        <v>0</v>
      </c>
      <c r="AG20">
        <f>-IF(AND(AG$44&gt;Inputs!$D$65,AG$44&lt;=Inputs!$D$65+Inputs!$D$66,Inputs!$D$66&gt;0),Inputs!$D$29*Inputs!$C$15/Inputs!$D$66,0)</f>
        <v>0</v>
      </c>
      <c r="AH20">
        <f>-IF(AND(AH$44&gt;Inputs!$D$65,AH$44&lt;=Inputs!$D$65+Inputs!$D$66,Inputs!$D$66&gt;0),Inputs!$D$29*Inputs!$C$15/Inputs!$D$66,0)</f>
        <v>0</v>
      </c>
      <c r="AI20">
        <f>-IF(AND(AI$44&gt;Inputs!$D$65,AI$44&lt;=Inputs!$D$65+Inputs!$D$66,Inputs!$D$66&gt;0),Inputs!$D$29*Inputs!$C$15/Inputs!$D$66,0)</f>
        <v>0</v>
      </c>
      <c r="AJ20">
        <f>-IF(AND(AJ$44&gt;Inputs!$D$65,AJ$44&lt;=Inputs!$D$65+Inputs!$D$66,Inputs!$D$66&gt;0),Inputs!$D$29*Inputs!$C$15/Inputs!$D$66,0)</f>
        <v>0</v>
      </c>
      <c r="AK20">
        <f>-IF(AND(AK$44&gt;Inputs!$D$65,AK$44&lt;=Inputs!$D$65+Inputs!$D$66,Inputs!$D$66&gt;0),Inputs!$D$29*Inputs!$C$15/Inputs!$D$66,0)</f>
        <v>0</v>
      </c>
      <c r="AL20">
        <f>-IF(AND(AL$44&gt;Inputs!$D$65,AL$44&lt;=Inputs!$D$65+Inputs!$D$66,Inputs!$D$66&gt;0),Inputs!$D$29*Inputs!$C$15/Inputs!$D$66,0)</f>
        <v>0</v>
      </c>
      <c r="AM20">
        <f>-IF(AND(AM$44&gt;Inputs!$D$65,AM$44&lt;=Inputs!$D$65+Inputs!$D$66,Inputs!$D$66&gt;0),Inputs!$D$29*Inputs!$C$15/Inputs!$D$66,0)</f>
        <v>0</v>
      </c>
      <c r="AN20">
        <f>-IF(AND(AN$44&gt;Inputs!$D$65,AN$44&lt;=Inputs!$D$65+Inputs!$D$66,Inputs!$D$66&gt;0),Inputs!$D$29*Inputs!$C$15/Inputs!$D$66,0)</f>
        <v>0</v>
      </c>
      <c r="AO20">
        <f>-IF(AND(AO$44&gt;Inputs!$D$65,AO$44&lt;=Inputs!$D$65+Inputs!$D$66,Inputs!$D$66&gt;0),Inputs!$D$29*Inputs!$C$15/Inputs!$D$66,0)</f>
        <v>0</v>
      </c>
      <c r="AP20">
        <f>-IF(AND(AP$44&gt;Inputs!$D$65,AP$44&lt;=Inputs!$D$65+Inputs!$D$66,Inputs!$D$66&gt;0),Inputs!$D$29*Inputs!$C$15/Inputs!$D$66,0)</f>
        <v>0</v>
      </c>
      <c r="AQ20">
        <f>-IF(AND(AQ$44&gt;Inputs!$D$65,AQ$44&lt;=Inputs!$D$65+Inputs!$D$66,Inputs!$D$66&gt;0),Inputs!$D$29*Inputs!$C$15/Inputs!$D$66,0)</f>
        <v>0</v>
      </c>
      <c r="AR20">
        <f>-IF(AND(AR$44&gt;Inputs!$D$65,AR$44&lt;=Inputs!$D$65+Inputs!$D$66,Inputs!$D$66&gt;0),Inputs!$D$29*Inputs!$C$15/Inputs!$D$66,0)</f>
        <v>0</v>
      </c>
      <c r="AS20">
        <f>-IF(AND(AS$44&gt;Inputs!$D$65,AS$44&lt;=Inputs!$D$65+Inputs!$D$66,Inputs!$D$66&gt;0),Inputs!$D$29*Inputs!$C$15/Inputs!$D$66,0)</f>
        <v>0</v>
      </c>
      <c r="AT20">
        <f>-IF(AND(AT$44&gt;Inputs!$D$65,AT$44&lt;=Inputs!$D$65+Inputs!$D$66,Inputs!$D$66&gt;0),Inputs!$D$29*Inputs!$C$15/Inputs!$D$66,0)</f>
        <v>0</v>
      </c>
      <c r="AU20">
        <f>-IF(AND(AU$44&gt;Inputs!$D$65,AU$44&lt;=Inputs!$D$65+Inputs!$D$66,Inputs!$D$66&gt;0),Inputs!$D$29*Inputs!$C$15/Inputs!$D$66,0)</f>
        <v>0</v>
      </c>
      <c r="AV20">
        <f>-IF(AND(AV$44&gt;Inputs!$D$65,AV$44&lt;=Inputs!$D$65+Inputs!$D$66,Inputs!$D$66&gt;0),Inputs!$D$29*Inputs!$C$15/Inputs!$D$66,0)</f>
        <v>0</v>
      </c>
      <c r="AW20">
        <f>-IF(AND(AW$44&gt;Inputs!$D$65,AW$44&lt;=Inputs!$D$65+Inputs!$D$66,Inputs!$D$66&gt;0),Inputs!$D$29*Inputs!$C$15/Inputs!$D$66,0)</f>
        <v>0</v>
      </c>
      <c r="AX20">
        <f>-IF(AND(AX$44&gt;Inputs!$D$65,AX$44&lt;=Inputs!$D$65+Inputs!$D$66,Inputs!$D$66&gt;0),Inputs!$D$29*Inputs!$C$15/Inputs!$D$66,0)</f>
        <v>0</v>
      </c>
      <c r="AY20">
        <f>-IF(AND(AY$44&gt;Inputs!$D$65,AY$44&lt;=Inputs!$D$65+Inputs!$D$66,Inputs!$D$66&gt;0),Inputs!$D$29*Inputs!$C$15/Inputs!$D$66,0)</f>
        <v>0</v>
      </c>
      <c r="AZ20">
        <f>-IF(AND(AZ$44&gt;Inputs!$D$65,AZ$44&lt;=Inputs!$D$65+Inputs!$D$66,Inputs!$D$66&gt;0),Inputs!$D$29*Inputs!$C$15/Inputs!$D$66,0)</f>
        <v>0</v>
      </c>
      <c r="BA20">
        <f>-IF(AND(BA$44&gt;Inputs!$D$65,BA$44&lt;=Inputs!$D$65+Inputs!$D$66,Inputs!$D$66&gt;0),Inputs!$D$29*Inputs!$C$15/Inputs!$D$66,0)</f>
        <v>0</v>
      </c>
      <c r="BB20">
        <f>-IF(AND(BB$44&gt;Inputs!$D$65,BB$44&lt;=Inputs!$D$65+Inputs!$D$66,Inputs!$D$66&gt;0),Inputs!$D$29*Inputs!$C$15/Inputs!$D$66,0)</f>
        <v>0</v>
      </c>
      <c r="BC20">
        <f>-IF(AND(BC$44&gt;Inputs!$D$65,BC$44&lt;=Inputs!$D$65+Inputs!$D$66,Inputs!$D$66&gt;0),Inputs!$D$29*Inputs!$C$15/Inputs!$D$66,0)</f>
        <v>0</v>
      </c>
      <c r="BD20">
        <f>-IF(AND(BD$44&gt;Inputs!$D$65,BD$44&lt;=Inputs!$D$65+Inputs!$D$66,Inputs!$D$66&gt;0),Inputs!$D$29*Inputs!$C$15/Inputs!$D$66,0)</f>
        <v>0</v>
      </c>
      <c r="BE20">
        <f>-IF(AND(BE$44&gt;Inputs!$D$65,BE$44&lt;=Inputs!$D$65+Inputs!$D$66,Inputs!$D$66&gt;0),Inputs!$D$29*Inputs!$C$15/Inputs!$D$66,0)</f>
        <v>0</v>
      </c>
      <c r="BF20">
        <f>-IF(AND(BF$44&gt;Inputs!$D$65,BF$44&lt;=Inputs!$D$65+Inputs!$D$66,Inputs!$D$66&gt;0),Inputs!$D$29*Inputs!$C$15/Inputs!$D$66,0)</f>
        <v>0</v>
      </c>
      <c r="BG20">
        <f>-IF(AND(BG$44&gt;Inputs!$D$65,BG$44&lt;=Inputs!$D$65+Inputs!$D$66,Inputs!$D$66&gt;0),Inputs!$D$29*Inputs!$C$15/Inputs!$D$66,0)</f>
        <v>0</v>
      </c>
      <c r="BH20">
        <f>-IF(AND(BH$44&gt;Inputs!$D$65,BH$44&lt;=Inputs!$D$65+Inputs!$D$66,Inputs!$D$66&gt;0),Inputs!$D$29*Inputs!$C$15/Inputs!$D$66,0)</f>
        <v>0</v>
      </c>
      <c r="BI20">
        <f>-IF(AND(BI$44&gt;Inputs!$D$65,BI$44&lt;=Inputs!$D$65+Inputs!$D$66,Inputs!$D$66&gt;0),Inputs!$D$29*Inputs!$C$15/Inputs!$D$66,0)</f>
        <v>0</v>
      </c>
      <c r="BJ20">
        <f>-IF(AND(BJ$44&gt;Inputs!$D$65,BJ$44&lt;=Inputs!$D$65+Inputs!$D$66,Inputs!$D$66&gt;0),Inputs!$D$29*Inputs!$C$15/Inputs!$D$66,0)</f>
        <v>0</v>
      </c>
      <c r="BK20">
        <f>-IF(AND(BK$44&gt;Inputs!$D$65,BK$44&lt;=Inputs!$D$65+Inputs!$D$66,Inputs!$D$66&gt;0),Inputs!$D$29*Inputs!$C$15/Inputs!$D$66,0)</f>
        <v>0</v>
      </c>
      <c r="BL20">
        <f>-IF(AND(BL$44&gt;Inputs!$D$65,BL$44&lt;=Inputs!$D$65+Inputs!$D$66,Inputs!$D$66&gt;0),Inputs!$D$29*Inputs!$C$15/Inputs!$D$66,0)</f>
        <v>0</v>
      </c>
      <c r="BM20">
        <f>-IF(AND(BM$44&gt;Inputs!$D$65,BM$44&lt;=Inputs!$D$65+Inputs!$D$66,Inputs!$D$66&gt;0),Inputs!$D$29*Inputs!$C$15/Inputs!$D$66,0)</f>
        <v>0</v>
      </c>
      <c r="BN20">
        <f>-IF(AND(BN$44&gt;Inputs!$D$65,BN$44&lt;=Inputs!$D$65+Inputs!$D$66,Inputs!$D$66&gt;0),Inputs!$D$29*Inputs!$C$15/Inputs!$D$66,0)</f>
        <v>0</v>
      </c>
      <c r="BO20">
        <f>-IF(AND(BO$44&gt;Inputs!$D$65,BO$44&lt;=Inputs!$D$65+Inputs!$D$66,Inputs!$D$66&gt;0),Inputs!$D$29*Inputs!$C$15/Inputs!$D$66,0)</f>
        <v>0</v>
      </c>
    </row>
    <row r="21">
      <c r="B21" t="str">
        <v>Project management</v>
      </c>
      <c r="C21">
        <f>SUM(H21:BO21)</f>
        <v>0</v>
      </c>
      <c r="H21">
        <f>-IF(AND(H$44&gt;Inputs!$D$65,H$44&lt;=Inputs!$D$65+Inputs!$D$66,Inputs!$D$66&gt;0),(Inputs!$D$28+Inputs!$D$29)*Inputs!$C$15*Inputs!$E$30/Inputs!$D$66,0)</f>
        <v>0</v>
      </c>
      <c r="I21">
        <f>-IF(AND(I$44&gt;Inputs!$D$65,I$44&lt;=Inputs!$D$65+Inputs!$D$66,Inputs!$D$66&gt;0),(Inputs!$D$28+Inputs!$D$29)*Inputs!$C$15*Inputs!$E$30/Inputs!$D$66,0)</f>
        <v>0</v>
      </c>
      <c r="J21">
        <f>-IF(AND(J$44&gt;Inputs!$D$65,J$44&lt;=Inputs!$D$65+Inputs!$D$66,Inputs!$D$66&gt;0),(Inputs!$D$28+Inputs!$D$29)*Inputs!$C$15*Inputs!$E$30/Inputs!$D$66,0)</f>
        <v>0</v>
      </c>
      <c r="K21">
        <f>-IF(AND(K$44&gt;Inputs!$D$65,K$44&lt;=Inputs!$D$65+Inputs!$D$66,Inputs!$D$66&gt;0),(Inputs!$D$28+Inputs!$D$29)*Inputs!$C$15*Inputs!$E$30/Inputs!$D$66,0)</f>
        <v>0</v>
      </c>
      <c r="L21">
        <f>-IF(AND(L$44&gt;Inputs!$D$65,L$44&lt;=Inputs!$D$65+Inputs!$D$66,Inputs!$D$66&gt;0),(Inputs!$D$28+Inputs!$D$29)*Inputs!$C$15*Inputs!$E$30/Inputs!$D$66,0)</f>
        <v>0</v>
      </c>
      <c r="M21">
        <f>-IF(AND(M$44&gt;Inputs!$D$65,M$44&lt;=Inputs!$D$65+Inputs!$D$66,Inputs!$D$66&gt;0),(Inputs!$D$28+Inputs!$D$29)*Inputs!$C$15*Inputs!$E$30/Inputs!$D$66,0)</f>
        <v>0</v>
      </c>
      <c r="N21">
        <f>-IF(AND(N$44&gt;Inputs!$D$65,N$44&lt;=Inputs!$D$65+Inputs!$D$66,Inputs!$D$66&gt;0),(Inputs!$D$28+Inputs!$D$29)*Inputs!$C$15*Inputs!$E$30/Inputs!$D$66,0)</f>
        <v>0</v>
      </c>
      <c r="O21">
        <f>-IF(AND(O$44&gt;Inputs!$D$65,O$44&lt;=Inputs!$D$65+Inputs!$D$66,Inputs!$D$66&gt;0),(Inputs!$D$28+Inputs!$D$29)*Inputs!$C$15*Inputs!$E$30/Inputs!$D$66,0)</f>
        <v>0</v>
      </c>
      <c r="P21">
        <f>-IF(AND(P$44&gt;Inputs!$D$65,P$44&lt;=Inputs!$D$65+Inputs!$D$66,Inputs!$D$66&gt;0),(Inputs!$D$28+Inputs!$D$29)*Inputs!$C$15*Inputs!$E$30/Inputs!$D$66,0)</f>
        <v>0</v>
      </c>
      <c r="Q21">
        <f>-IF(AND(Q$44&gt;Inputs!$D$65,Q$44&lt;=Inputs!$D$65+Inputs!$D$66,Inputs!$D$66&gt;0),(Inputs!$D$28+Inputs!$D$29)*Inputs!$C$15*Inputs!$E$30/Inputs!$D$66,0)</f>
        <v>0</v>
      </c>
      <c r="R21">
        <f>-IF(AND(R$44&gt;Inputs!$D$65,R$44&lt;=Inputs!$D$65+Inputs!$D$66,Inputs!$D$66&gt;0),(Inputs!$D$28+Inputs!$D$29)*Inputs!$C$15*Inputs!$E$30/Inputs!$D$66,0)</f>
        <v>0</v>
      </c>
      <c r="S21">
        <f>-IF(AND(S$44&gt;Inputs!$D$65,S$44&lt;=Inputs!$D$65+Inputs!$D$66,Inputs!$D$66&gt;0),(Inputs!$D$28+Inputs!$D$29)*Inputs!$C$15*Inputs!$E$30/Inputs!$D$66,0)</f>
        <v>0</v>
      </c>
      <c r="T21">
        <f>-IF(AND(T$44&gt;Inputs!$D$65,T$44&lt;=Inputs!$D$65+Inputs!$D$66,Inputs!$D$66&gt;0),(Inputs!$D$28+Inputs!$D$29)*Inputs!$C$15*Inputs!$E$30/Inputs!$D$66,0)</f>
        <v>0</v>
      </c>
      <c r="U21">
        <f>-IF(AND(U$44&gt;Inputs!$D$65,U$44&lt;=Inputs!$D$65+Inputs!$D$66,Inputs!$D$66&gt;0),(Inputs!$D$28+Inputs!$D$29)*Inputs!$C$15*Inputs!$E$30/Inputs!$D$66,0)</f>
        <v>0</v>
      </c>
      <c r="V21">
        <f>-IF(AND(V$44&gt;Inputs!$D$65,V$44&lt;=Inputs!$D$65+Inputs!$D$66,Inputs!$D$66&gt;0),(Inputs!$D$28+Inputs!$D$29)*Inputs!$C$15*Inputs!$E$30/Inputs!$D$66,0)</f>
        <v>0</v>
      </c>
      <c r="W21">
        <f>-IF(AND(W$44&gt;Inputs!$D$65,W$44&lt;=Inputs!$D$65+Inputs!$D$66,Inputs!$D$66&gt;0),(Inputs!$D$28+Inputs!$D$29)*Inputs!$C$15*Inputs!$E$30/Inputs!$D$66,0)</f>
        <v>0</v>
      </c>
      <c r="X21">
        <f>-IF(AND(X$44&gt;Inputs!$D$65,X$44&lt;=Inputs!$D$65+Inputs!$D$66,Inputs!$D$66&gt;0),(Inputs!$D$28+Inputs!$D$29)*Inputs!$C$15*Inputs!$E$30/Inputs!$D$66,0)</f>
        <v>0</v>
      </c>
      <c r="Y21">
        <f>-IF(AND(Y$44&gt;Inputs!$D$65,Y$44&lt;=Inputs!$D$65+Inputs!$D$66,Inputs!$D$66&gt;0),(Inputs!$D$28+Inputs!$D$29)*Inputs!$C$15*Inputs!$E$30/Inputs!$D$66,0)</f>
        <v>0</v>
      </c>
      <c r="Z21">
        <f>-IF(AND(Z$44&gt;Inputs!$D$65,Z$44&lt;=Inputs!$D$65+Inputs!$D$66,Inputs!$D$66&gt;0),(Inputs!$D$28+Inputs!$D$29)*Inputs!$C$15*Inputs!$E$30/Inputs!$D$66,0)</f>
        <v>0</v>
      </c>
      <c r="AA21">
        <f>-IF(AND(AA$44&gt;Inputs!$D$65,AA$44&lt;=Inputs!$D$65+Inputs!$D$66,Inputs!$D$66&gt;0),(Inputs!$D$28+Inputs!$D$29)*Inputs!$C$15*Inputs!$E$30/Inputs!$D$66,0)</f>
        <v>0</v>
      </c>
      <c r="AB21">
        <f>-IF(AND(AB$44&gt;Inputs!$D$65,AB$44&lt;=Inputs!$D$65+Inputs!$D$66,Inputs!$D$66&gt;0),(Inputs!$D$28+Inputs!$D$29)*Inputs!$C$15*Inputs!$E$30/Inputs!$D$66,0)</f>
        <v>0</v>
      </c>
      <c r="AC21">
        <f>-IF(AND(AC$44&gt;Inputs!$D$65,AC$44&lt;=Inputs!$D$65+Inputs!$D$66,Inputs!$D$66&gt;0),(Inputs!$D$28+Inputs!$D$29)*Inputs!$C$15*Inputs!$E$30/Inputs!$D$66,0)</f>
        <v>0</v>
      </c>
      <c r="AD21">
        <f>-IF(AND(AD$44&gt;Inputs!$D$65,AD$44&lt;=Inputs!$D$65+Inputs!$D$66,Inputs!$D$66&gt;0),(Inputs!$D$28+Inputs!$D$29)*Inputs!$C$15*Inputs!$E$30/Inputs!$D$66,0)</f>
        <v>0</v>
      </c>
      <c r="AE21">
        <f>-IF(AND(AE$44&gt;Inputs!$D$65,AE$44&lt;=Inputs!$D$65+Inputs!$D$66,Inputs!$D$66&gt;0),(Inputs!$D$28+Inputs!$D$29)*Inputs!$C$15*Inputs!$E$30/Inputs!$D$66,0)</f>
        <v>0</v>
      </c>
      <c r="AF21">
        <f>-IF(AND(AF$44&gt;Inputs!$D$65,AF$44&lt;=Inputs!$D$65+Inputs!$D$66,Inputs!$D$66&gt;0),(Inputs!$D$28+Inputs!$D$29)*Inputs!$C$15*Inputs!$E$30/Inputs!$D$66,0)</f>
        <v>0</v>
      </c>
      <c r="AG21">
        <f>-IF(AND(AG$44&gt;Inputs!$D$65,AG$44&lt;=Inputs!$D$65+Inputs!$D$66,Inputs!$D$66&gt;0),(Inputs!$D$28+Inputs!$D$29)*Inputs!$C$15*Inputs!$E$30/Inputs!$D$66,0)</f>
        <v>0</v>
      </c>
      <c r="AH21">
        <f>-IF(AND(AH$44&gt;Inputs!$D$65,AH$44&lt;=Inputs!$D$65+Inputs!$D$66,Inputs!$D$66&gt;0),(Inputs!$D$28+Inputs!$D$29)*Inputs!$C$15*Inputs!$E$30/Inputs!$D$66,0)</f>
        <v>0</v>
      </c>
      <c r="AI21">
        <f>-IF(AND(AI$44&gt;Inputs!$D$65,AI$44&lt;=Inputs!$D$65+Inputs!$D$66,Inputs!$D$66&gt;0),(Inputs!$D$28+Inputs!$D$29)*Inputs!$C$15*Inputs!$E$30/Inputs!$D$66,0)</f>
        <v>0</v>
      </c>
      <c r="AJ21">
        <f>-IF(AND(AJ$44&gt;Inputs!$D$65,AJ$44&lt;=Inputs!$D$65+Inputs!$D$66,Inputs!$D$66&gt;0),(Inputs!$D$28+Inputs!$D$29)*Inputs!$C$15*Inputs!$E$30/Inputs!$D$66,0)</f>
        <v>0</v>
      </c>
      <c r="AK21">
        <f>-IF(AND(AK$44&gt;Inputs!$D$65,AK$44&lt;=Inputs!$D$65+Inputs!$D$66,Inputs!$D$66&gt;0),(Inputs!$D$28+Inputs!$D$29)*Inputs!$C$15*Inputs!$E$30/Inputs!$D$66,0)</f>
        <v>0</v>
      </c>
      <c r="AL21">
        <f>-IF(AND(AL$44&gt;Inputs!$D$65,AL$44&lt;=Inputs!$D$65+Inputs!$D$66,Inputs!$D$66&gt;0),(Inputs!$D$28+Inputs!$D$29)*Inputs!$C$15*Inputs!$E$30/Inputs!$D$66,0)</f>
        <v>0</v>
      </c>
      <c r="AM21">
        <f>-IF(AND(AM$44&gt;Inputs!$D$65,AM$44&lt;=Inputs!$D$65+Inputs!$D$66,Inputs!$D$66&gt;0),(Inputs!$D$28+Inputs!$D$29)*Inputs!$C$15*Inputs!$E$30/Inputs!$D$66,0)</f>
        <v>0</v>
      </c>
      <c r="AN21">
        <f>-IF(AND(AN$44&gt;Inputs!$D$65,AN$44&lt;=Inputs!$D$65+Inputs!$D$66,Inputs!$D$66&gt;0),(Inputs!$D$28+Inputs!$D$29)*Inputs!$C$15*Inputs!$E$30/Inputs!$D$66,0)</f>
        <v>0</v>
      </c>
      <c r="AO21">
        <f>-IF(AND(AO$44&gt;Inputs!$D$65,AO$44&lt;=Inputs!$D$65+Inputs!$D$66,Inputs!$D$66&gt;0),(Inputs!$D$28+Inputs!$D$29)*Inputs!$C$15*Inputs!$E$30/Inputs!$D$66,0)</f>
        <v>0</v>
      </c>
      <c r="AP21">
        <f>-IF(AND(AP$44&gt;Inputs!$D$65,AP$44&lt;=Inputs!$D$65+Inputs!$D$66,Inputs!$D$66&gt;0),(Inputs!$D$28+Inputs!$D$29)*Inputs!$C$15*Inputs!$E$30/Inputs!$D$66,0)</f>
        <v>0</v>
      </c>
      <c r="AQ21">
        <f>-IF(AND(AQ$44&gt;Inputs!$D$65,AQ$44&lt;=Inputs!$D$65+Inputs!$D$66,Inputs!$D$66&gt;0),(Inputs!$D$28+Inputs!$D$29)*Inputs!$C$15*Inputs!$E$30/Inputs!$D$66,0)</f>
        <v>0</v>
      </c>
      <c r="AR21">
        <f>-IF(AND(AR$44&gt;Inputs!$D$65,AR$44&lt;=Inputs!$D$65+Inputs!$D$66,Inputs!$D$66&gt;0),(Inputs!$D$28+Inputs!$D$29)*Inputs!$C$15*Inputs!$E$30/Inputs!$D$66,0)</f>
        <v>0</v>
      </c>
      <c r="AS21">
        <f>-IF(AND(AS$44&gt;Inputs!$D$65,AS$44&lt;=Inputs!$D$65+Inputs!$D$66,Inputs!$D$66&gt;0),(Inputs!$D$28+Inputs!$D$29)*Inputs!$C$15*Inputs!$E$30/Inputs!$D$66,0)</f>
        <v>0</v>
      </c>
      <c r="AT21">
        <f>-IF(AND(AT$44&gt;Inputs!$D$65,AT$44&lt;=Inputs!$D$65+Inputs!$D$66,Inputs!$D$66&gt;0),(Inputs!$D$28+Inputs!$D$29)*Inputs!$C$15*Inputs!$E$30/Inputs!$D$66,0)</f>
        <v>0</v>
      </c>
      <c r="AU21">
        <f>-IF(AND(AU$44&gt;Inputs!$D$65,AU$44&lt;=Inputs!$D$65+Inputs!$D$66,Inputs!$D$66&gt;0),(Inputs!$D$28+Inputs!$D$29)*Inputs!$C$15*Inputs!$E$30/Inputs!$D$66,0)</f>
        <v>0</v>
      </c>
      <c r="AV21">
        <f>-IF(AND(AV$44&gt;Inputs!$D$65,AV$44&lt;=Inputs!$D$65+Inputs!$D$66,Inputs!$D$66&gt;0),(Inputs!$D$28+Inputs!$D$29)*Inputs!$C$15*Inputs!$E$30/Inputs!$D$66,0)</f>
        <v>0</v>
      </c>
      <c r="AW21">
        <f>-IF(AND(AW$44&gt;Inputs!$D$65,AW$44&lt;=Inputs!$D$65+Inputs!$D$66,Inputs!$D$66&gt;0),(Inputs!$D$28+Inputs!$D$29)*Inputs!$C$15*Inputs!$E$30/Inputs!$D$66,0)</f>
        <v>0</v>
      </c>
      <c r="AX21">
        <f>-IF(AND(AX$44&gt;Inputs!$D$65,AX$44&lt;=Inputs!$D$65+Inputs!$D$66,Inputs!$D$66&gt;0),(Inputs!$D$28+Inputs!$D$29)*Inputs!$C$15*Inputs!$E$30/Inputs!$D$66,0)</f>
        <v>0</v>
      </c>
      <c r="AY21">
        <f>-IF(AND(AY$44&gt;Inputs!$D$65,AY$44&lt;=Inputs!$D$65+Inputs!$D$66,Inputs!$D$66&gt;0),(Inputs!$D$28+Inputs!$D$29)*Inputs!$C$15*Inputs!$E$30/Inputs!$D$66,0)</f>
        <v>0</v>
      </c>
      <c r="AZ21">
        <f>-IF(AND(AZ$44&gt;Inputs!$D$65,AZ$44&lt;=Inputs!$D$65+Inputs!$D$66,Inputs!$D$66&gt;0),(Inputs!$D$28+Inputs!$D$29)*Inputs!$C$15*Inputs!$E$30/Inputs!$D$66,0)</f>
        <v>0</v>
      </c>
      <c r="BA21">
        <f>-IF(AND(BA$44&gt;Inputs!$D$65,BA$44&lt;=Inputs!$D$65+Inputs!$D$66,Inputs!$D$66&gt;0),(Inputs!$D$28+Inputs!$D$29)*Inputs!$C$15*Inputs!$E$30/Inputs!$D$66,0)</f>
        <v>0</v>
      </c>
      <c r="BB21">
        <f>-IF(AND(BB$44&gt;Inputs!$D$65,BB$44&lt;=Inputs!$D$65+Inputs!$D$66,Inputs!$D$66&gt;0),(Inputs!$D$28+Inputs!$D$29)*Inputs!$C$15*Inputs!$E$30/Inputs!$D$66,0)</f>
        <v>0</v>
      </c>
      <c r="BC21">
        <f>-IF(AND(BC$44&gt;Inputs!$D$65,BC$44&lt;=Inputs!$D$65+Inputs!$D$66,Inputs!$D$66&gt;0),(Inputs!$D$28+Inputs!$D$29)*Inputs!$C$15*Inputs!$E$30/Inputs!$D$66,0)</f>
        <v>0</v>
      </c>
      <c r="BD21">
        <f>-IF(AND(BD$44&gt;Inputs!$D$65,BD$44&lt;=Inputs!$D$65+Inputs!$D$66,Inputs!$D$66&gt;0),(Inputs!$D$28+Inputs!$D$29)*Inputs!$C$15*Inputs!$E$30/Inputs!$D$66,0)</f>
        <v>0</v>
      </c>
      <c r="BE21">
        <f>-IF(AND(BE$44&gt;Inputs!$D$65,BE$44&lt;=Inputs!$D$65+Inputs!$D$66,Inputs!$D$66&gt;0),(Inputs!$D$28+Inputs!$D$29)*Inputs!$C$15*Inputs!$E$30/Inputs!$D$66,0)</f>
        <v>0</v>
      </c>
      <c r="BF21">
        <f>-IF(AND(BF$44&gt;Inputs!$D$65,BF$44&lt;=Inputs!$D$65+Inputs!$D$66,Inputs!$D$66&gt;0),(Inputs!$D$28+Inputs!$D$29)*Inputs!$C$15*Inputs!$E$30/Inputs!$D$66,0)</f>
        <v>0</v>
      </c>
      <c r="BG21">
        <f>-IF(AND(BG$44&gt;Inputs!$D$65,BG$44&lt;=Inputs!$D$65+Inputs!$D$66,Inputs!$D$66&gt;0),(Inputs!$D$28+Inputs!$D$29)*Inputs!$C$15*Inputs!$E$30/Inputs!$D$66,0)</f>
        <v>0</v>
      </c>
      <c r="BH21">
        <f>-IF(AND(BH$44&gt;Inputs!$D$65,BH$44&lt;=Inputs!$D$65+Inputs!$D$66,Inputs!$D$66&gt;0),(Inputs!$D$28+Inputs!$D$29)*Inputs!$C$15*Inputs!$E$30/Inputs!$D$66,0)</f>
        <v>0</v>
      </c>
      <c r="BI21">
        <f>-IF(AND(BI$44&gt;Inputs!$D$65,BI$44&lt;=Inputs!$D$65+Inputs!$D$66,Inputs!$D$66&gt;0),(Inputs!$D$28+Inputs!$D$29)*Inputs!$C$15*Inputs!$E$30/Inputs!$D$66,0)</f>
        <v>0</v>
      </c>
      <c r="BJ21">
        <f>-IF(AND(BJ$44&gt;Inputs!$D$65,BJ$44&lt;=Inputs!$D$65+Inputs!$D$66,Inputs!$D$66&gt;0),(Inputs!$D$28+Inputs!$D$29)*Inputs!$C$15*Inputs!$E$30/Inputs!$D$66,0)</f>
        <v>0</v>
      </c>
      <c r="BK21">
        <f>-IF(AND(BK$44&gt;Inputs!$D$65,BK$44&lt;=Inputs!$D$65+Inputs!$D$66,Inputs!$D$66&gt;0),(Inputs!$D$28+Inputs!$D$29)*Inputs!$C$15*Inputs!$E$30/Inputs!$D$66,0)</f>
        <v>0</v>
      </c>
      <c r="BL21">
        <f>-IF(AND(BL$44&gt;Inputs!$D$65,BL$44&lt;=Inputs!$D$65+Inputs!$D$66,Inputs!$D$66&gt;0),(Inputs!$D$28+Inputs!$D$29)*Inputs!$C$15*Inputs!$E$30/Inputs!$D$66,0)</f>
        <v>0</v>
      </c>
      <c r="BM21">
        <f>-IF(AND(BM$44&gt;Inputs!$D$65,BM$44&lt;=Inputs!$D$65+Inputs!$D$66,Inputs!$D$66&gt;0),(Inputs!$D$28+Inputs!$D$29)*Inputs!$C$15*Inputs!$E$30/Inputs!$D$66,0)</f>
        <v>0</v>
      </c>
      <c r="BN21">
        <f>-IF(AND(BN$44&gt;Inputs!$D$65,BN$44&lt;=Inputs!$D$65+Inputs!$D$66,Inputs!$D$66&gt;0),(Inputs!$D$28+Inputs!$D$29)*Inputs!$C$15*Inputs!$E$30/Inputs!$D$66,0)</f>
        <v>0</v>
      </c>
      <c r="BO21">
        <f>-IF(AND(BO$44&gt;Inputs!$D$65,BO$44&lt;=Inputs!$D$65+Inputs!$D$66,Inputs!$D$66&gt;0),(Inputs!$D$28+Inputs!$D$29)*Inputs!$C$15*Inputs!$E$30/Inputs!$D$66,0)</f>
        <v>0</v>
      </c>
    </row>
    <row r="22">
      <c r="B22" t="str">
        <v>Other costs</v>
      </c>
      <c r="C22">
        <f>SUM(H22:BO22)</f>
        <v>0</v>
      </c>
      <c r="H22">
        <f>-H50</f>
        <v>0</v>
      </c>
      <c r="I22">
        <f>-I50</f>
        <v>0</v>
      </c>
      <c r="J22">
        <f>-J50</f>
        <v>0</v>
      </c>
      <c r="K22">
        <f>-K50</f>
        <v>0</v>
      </c>
      <c r="L22">
        <f>-L50</f>
        <v>0</v>
      </c>
      <c r="M22">
        <f>-M50</f>
        <v>0</v>
      </c>
      <c r="N22">
        <f>-N50</f>
        <v>0</v>
      </c>
      <c r="O22">
        <f>-O50</f>
        <v>0</v>
      </c>
      <c r="P22">
        <f>-P50</f>
        <v>0</v>
      </c>
      <c r="Q22">
        <f>-Q50</f>
        <v>0</v>
      </c>
      <c r="R22">
        <f>-R50</f>
        <v>0</v>
      </c>
      <c r="S22">
        <f>-S50</f>
        <v>0</v>
      </c>
      <c r="T22">
        <f>-T50</f>
        <v>0</v>
      </c>
      <c r="U22">
        <f>-U50</f>
        <v>0</v>
      </c>
      <c r="V22">
        <f>-V50</f>
        <v>0</v>
      </c>
      <c r="W22">
        <f>-W50</f>
        <v>0</v>
      </c>
      <c r="X22">
        <f>-X50</f>
        <v>0</v>
      </c>
      <c r="Y22">
        <f>-Y50</f>
        <v>0</v>
      </c>
      <c r="Z22">
        <f>-Z50</f>
        <v>0</v>
      </c>
      <c r="AA22">
        <f>-AA50</f>
        <v>0</v>
      </c>
      <c r="AB22">
        <f>-AB50</f>
        <v>0</v>
      </c>
      <c r="AC22">
        <f>-AC50</f>
        <v>0</v>
      </c>
      <c r="AD22">
        <f>-AD50</f>
        <v>0</v>
      </c>
      <c r="AE22">
        <f>-AE50</f>
        <v>0</v>
      </c>
      <c r="AF22">
        <f>-AF50</f>
        <v>0</v>
      </c>
      <c r="AG22">
        <f>-AG50</f>
        <v>0</v>
      </c>
      <c r="AH22">
        <f>-AH50</f>
        <v>0</v>
      </c>
      <c r="AI22">
        <f>-AI50</f>
        <v>0</v>
      </c>
      <c r="AJ22">
        <f>-AJ50</f>
        <v>0</v>
      </c>
      <c r="AK22">
        <f>-AK50</f>
        <v>0</v>
      </c>
      <c r="AL22">
        <f>-AL50</f>
        <v>0</v>
      </c>
      <c r="AM22">
        <f>-AM50</f>
        <v>0</v>
      </c>
      <c r="AN22">
        <f>-AN50</f>
        <v>0</v>
      </c>
      <c r="AO22">
        <f>-AO50</f>
        <v>0</v>
      </c>
      <c r="AP22">
        <f>-AP50</f>
        <v>0</v>
      </c>
      <c r="AQ22">
        <f>-AQ50</f>
        <v>0</v>
      </c>
      <c r="AR22">
        <f>-AR50</f>
        <v>0</v>
      </c>
      <c r="AS22">
        <f>-AS50</f>
        <v>0</v>
      </c>
      <c r="AT22">
        <f>-AT50</f>
        <v>0</v>
      </c>
      <c r="AU22">
        <f>-AU50</f>
        <v>0</v>
      </c>
      <c r="AV22">
        <f>-AV50</f>
        <v>0</v>
      </c>
      <c r="AW22">
        <f>-AW50</f>
        <v>0</v>
      </c>
      <c r="AX22">
        <f>-AX50</f>
        <v>0</v>
      </c>
      <c r="AY22">
        <f>-AY50</f>
        <v>0</v>
      </c>
      <c r="AZ22">
        <f>-AZ50</f>
        <v>0</v>
      </c>
      <c r="BA22">
        <f>-BA50</f>
        <v>0</v>
      </c>
      <c r="BB22">
        <f>-BB50</f>
        <v>0</v>
      </c>
      <c r="BC22">
        <f>-BC50</f>
        <v>0</v>
      </c>
      <c r="BD22">
        <f>-BD50</f>
        <v>0</v>
      </c>
      <c r="BE22">
        <f>-BE50</f>
        <v>0</v>
      </c>
      <c r="BF22">
        <f>-BF50</f>
        <v>0</v>
      </c>
      <c r="BG22">
        <f>-BG50</f>
        <v>0</v>
      </c>
      <c r="BH22">
        <f>-BH50</f>
        <v>0</v>
      </c>
      <c r="BI22">
        <f>-BI50</f>
        <v>0</v>
      </c>
      <c r="BJ22">
        <f>-BJ50</f>
        <v>0</v>
      </c>
      <c r="BK22">
        <f>-BK50</f>
        <v>0</v>
      </c>
      <c r="BL22">
        <f>-BL50</f>
        <v>0</v>
      </c>
      <c r="BM22">
        <f>-BM50</f>
        <v>0</v>
      </c>
      <c r="BN22">
        <f>-BN50</f>
        <v>0</v>
      </c>
      <c r="BO22">
        <f>-BO50</f>
        <v>0</v>
      </c>
    </row>
    <row r="23">
      <c r="B23" t="str">
        <v>Total project costs</v>
      </c>
      <c r="C23">
        <f>SUM(H23:BO23)</f>
        <v>0</v>
      </c>
      <c r="H23">
        <f>SUM(H18:H22)</f>
        <v>0</v>
      </c>
      <c r="I23">
        <f>SUM(I18:I22)</f>
        <v>0</v>
      </c>
      <c r="J23">
        <f>SUM(J18:J22)</f>
        <v>0</v>
      </c>
      <c r="K23">
        <f>SUM(K18:K22)</f>
        <v>0</v>
      </c>
      <c r="L23">
        <f>SUM(L18:L22)</f>
        <v>0</v>
      </c>
      <c r="M23">
        <f>SUM(M18:M22)</f>
        <v>0</v>
      </c>
      <c r="N23">
        <f>SUM(N18:N22)</f>
        <v>0</v>
      </c>
      <c r="O23">
        <f>SUM(O18:O22)</f>
        <v>0</v>
      </c>
      <c r="P23">
        <f>SUM(P18:P22)</f>
        <v>0</v>
      </c>
      <c r="Q23">
        <f>SUM(Q18:Q22)</f>
        <v>0</v>
      </c>
      <c r="R23">
        <f>SUM(R18:R22)</f>
        <v>0</v>
      </c>
      <c r="S23">
        <f>SUM(S18:S22)</f>
        <v>0</v>
      </c>
      <c r="T23">
        <f>SUM(T18:T22)</f>
        <v>0</v>
      </c>
      <c r="U23">
        <f>SUM(U18:U22)</f>
        <v>0</v>
      </c>
      <c r="V23">
        <f>SUM(V18:V22)</f>
        <v>0</v>
      </c>
      <c r="W23">
        <f>SUM(W18:W22)</f>
        <v>0</v>
      </c>
      <c r="X23">
        <f>SUM(X18:X22)</f>
        <v>0</v>
      </c>
      <c r="Y23">
        <f>SUM(Y18:Y22)</f>
        <v>0</v>
      </c>
      <c r="Z23">
        <f>SUM(Z18:Z22)</f>
        <v>0</v>
      </c>
      <c r="AA23">
        <f>SUM(AA18:AA22)</f>
        <v>0</v>
      </c>
      <c r="AB23">
        <f>SUM(AB18:AB22)</f>
        <v>0</v>
      </c>
      <c r="AC23">
        <f>SUM(AC18:AC22)</f>
        <v>0</v>
      </c>
      <c r="AD23">
        <f>SUM(AD18:AD22)</f>
        <v>0</v>
      </c>
      <c r="AE23">
        <f>SUM(AE18:AE22)</f>
        <v>0</v>
      </c>
      <c r="AF23">
        <f>SUM(AF18:AF22)</f>
        <v>0</v>
      </c>
      <c r="AG23">
        <f>SUM(AG18:AG22)</f>
        <v>0</v>
      </c>
      <c r="AH23">
        <f>SUM(AH18:AH22)</f>
        <v>0</v>
      </c>
      <c r="AI23">
        <f>SUM(AI18:AI22)</f>
        <v>0</v>
      </c>
      <c r="AJ23">
        <f>SUM(AJ18:AJ22)</f>
        <v>0</v>
      </c>
      <c r="AK23">
        <f>SUM(AK18:AK22)</f>
        <v>0</v>
      </c>
      <c r="AL23">
        <f>SUM(AL18:AL22)</f>
        <v>0</v>
      </c>
      <c r="AM23">
        <f>SUM(AM18:AM22)</f>
        <v>0</v>
      </c>
      <c r="AN23">
        <f>SUM(AN18:AN22)</f>
        <v>0</v>
      </c>
      <c r="AO23">
        <f>SUM(AO18:AO22)</f>
        <v>0</v>
      </c>
      <c r="AP23">
        <f>SUM(AP18:AP22)</f>
        <v>0</v>
      </c>
      <c r="AQ23">
        <f>SUM(AQ18:AQ22)</f>
        <v>0</v>
      </c>
      <c r="AR23">
        <f>SUM(AR18:AR22)</f>
        <v>0</v>
      </c>
      <c r="AS23">
        <f>SUM(AS18:AS22)</f>
        <v>0</v>
      </c>
      <c r="AT23">
        <f>SUM(AT18:AT22)</f>
        <v>0</v>
      </c>
      <c r="AU23">
        <f>SUM(AU18:AU22)</f>
        <v>0</v>
      </c>
      <c r="AV23">
        <f>SUM(AV18:AV22)</f>
        <v>0</v>
      </c>
      <c r="AW23">
        <f>SUM(AW18:AW22)</f>
        <v>0</v>
      </c>
      <c r="AX23">
        <f>SUM(AX18:AX22)</f>
        <v>0</v>
      </c>
      <c r="AY23">
        <f>SUM(AY18:AY22)</f>
        <v>0</v>
      </c>
      <c r="AZ23">
        <f>SUM(AZ18:AZ22)</f>
        <v>0</v>
      </c>
      <c r="BA23">
        <f>SUM(BA18:BA22)</f>
        <v>0</v>
      </c>
      <c r="BB23">
        <f>SUM(BB18:BB22)</f>
        <v>0</v>
      </c>
      <c r="BC23">
        <f>SUM(BC18:BC22)</f>
        <v>0</v>
      </c>
      <c r="BD23">
        <f>SUM(BD18:BD22)</f>
        <v>0</v>
      </c>
      <c r="BE23">
        <f>SUM(BE18:BE22)</f>
        <v>0</v>
      </c>
      <c r="BF23">
        <f>SUM(BF18:BF22)</f>
        <v>0</v>
      </c>
      <c r="BG23">
        <f>SUM(BG18:BG22)</f>
        <v>0</v>
      </c>
      <c r="BH23">
        <f>SUM(BH18:BH22)</f>
        <v>0</v>
      </c>
      <c r="BI23">
        <f>SUM(BI18:BI22)</f>
        <v>0</v>
      </c>
      <c r="BJ23">
        <f>SUM(BJ18:BJ22)</f>
        <v>0</v>
      </c>
      <c r="BK23">
        <f>SUM(BK18:BK22)</f>
        <v>0</v>
      </c>
      <c r="BL23">
        <f>SUM(BL18:BL22)</f>
        <v>0</v>
      </c>
      <c r="BM23">
        <f>SUM(BM18:BM22)</f>
        <v>0</v>
      </c>
      <c r="BN23">
        <f>SUM(BN18:BN22)</f>
        <v>0</v>
      </c>
      <c r="BO23">
        <f>SUM(BO18:BO22)</f>
        <v>0</v>
      </c>
    </row>
    <row r="25">
      <c r="B25" t="str">
        <v>Gross margin</v>
      </c>
      <c r="C25">
        <f>SUM(H25:BO25)</f>
        <v>0</v>
      </c>
      <c r="H25">
        <f>H16-H23</f>
      </c>
      <c r="I25">
        <f>I16-I23</f>
      </c>
      <c r="J25">
        <f>J16-J23</f>
      </c>
      <c r="K25">
        <f>K16-K23</f>
      </c>
      <c r="L25">
        <f>L16-L23</f>
      </c>
      <c r="M25">
        <f>M16-M23</f>
      </c>
      <c r="N25">
        <f>N16-N23</f>
      </c>
      <c r="O25">
        <f>O16-O23</f>
      </c>
      <c r="P25">
        <f>P16-P23</f>
      </c>
      <c r="Q25">
        <f>Q16-Q23</f>
      </c>
      <c r="R25">
        <f>R16-R23</f>
      </c>
      <c r="S25">
        <f>S16-S23</f>
      </c>
      <c r="T25">
        <f>T16-T23</f>
      </c>
      <c r="U25">
        <f>U16-U23</f>
      </c>
      <c r="V25">
        <f>V16-V23</f>
      </c>
      <c r="W25">
        <f>W16-W23</f>
      </c>
      <c r="X25">
        <f>X16-X23</f>
      </c>
      <c r="Y25">
        <f>Y16-Y23</f>
      </c>
      <c r="Z25">
        <f>Z16-Z23</f>
      </c>
      <c r="AA25">
        <f>AA16-AA23</f>
      </c>
      <c r="AB25">
        <f>AB16-AB23</f>
      </c>
      <c r="AC25">
        <f>AC16-AC23</f>
      </c>
      <c r="AD25">
        <f>AD16-AD23</f>
      </c>
      <c r="AE25">
        <f>AE16-AE23</f>
      </c>
      <c r="AF25">
        <f>AF16-AF23</f>
      </c>
      <c r="AG25">
        <f>AG16-AG23</f>
      </c>
      <c r="AH25">
        <f>AH16-AH23</f>
      </c>
      <c r="AI25">
        <f>AI16-AI23</f>
      </c>
      <c r="AJ25">
        <f>AJ16-AJ23</f>
      </c>
      <c r="AK25">
        <f>AK16-AK23</f>
      </c>
      <c r="AL25">
        <f>AL16-AL23</f>
      </c>
      <c r="AM25">
        <f>AM16-AM23</f>
      </c>
      <c r="AN25">
        <f>AN16-AN23</f>
      </c>
      <c r="AO25">
        <f>AO16-AO23</f>
      </c>
      <c r="AP25">
        <f>AP16-AP23</f>
      </c>
      <c r="AQ25">
        <f>AQ16-AQ23</f>
      </c>
      <c r="AR25">
        <f>AR16-AR23</f>
      </c>
      <c r="AS25">
        <f>AS16-AS23</f>
      </c>
      <c r="AT25">
        <f>AT16-AT23</f>
      </c>
      <c r="AU25">
        <f>AU16-AU23</f>
      </c>
      <c r="AV25">
        <f>AV16-AV23</f>
      </c>
      <c r="AW25">
        <f>AW16-AW23</f>
      </c>
      <c r="AX25">
        <f>AX16-AX23</f>
      </c>
      <c r="AY25">
        <f>AY16-AY23</f>
      </c>
      <c r="AZ25">
        <f>AZ16-AZ23</f>
      </c>
      <c r="BA25">
        <f>BA16-BA23</f>
      </c>
      <c r="BB25">
        <f>BB16-BB23</f>
      </c>
      <c r="BC25">
        <f>BC16-BC23</f>
      </c>
      <c r="BD25">
        <f>BD16-BD23</f>
      </c>
      <c r="BE25">
        <f>BE16-BE23</f>
      </c>
      <c r="BF25">
        <f>BF16-BF23</f>
      </c>
      <c r="BG25">
        <f>BG16-BG23</f>
      </c>
      <c r="BH25">
        <f>BH16-BH23</f>
      </c>
      <c r="BI25">
        <f>BI16-BI23</f>
      </c>
      <c r="BJ25">
        <f>BJ16-BJ23</f>
      </c>
      <c r="BK25">
        <f>BK16-BK23</f>
      </c>
      <c r="BL25">
        <f>BL16-BL23</f>
      </c>
      <c r="BM25">
        <f>BM16-BM23</f>
      </c>
      <c r="BN25">
        <f>BN16-BN23</f>
      </c>
      <c r="BO25">
        <f>BO16-BO23</f>
      </c>
    </row>
    <row r="27">
      <c r="B27" t="str">
        <v>PIK interest expense</v>
      </c>
      <c r="C27">
        <f>SUM(H27:BO27)</f>
      </c>
      <c r="H27">
        <f>H74</f>
      </c>
      <c r="I27">
        <f>I74</f>
      </c>
      <c r="J27">
        <f>J74</f>
      </c>
      <c r="K27">
        <f>K74</f>
      </c>
      <c r="L27">
        <f>L74</f>
      </c>
      <c r="M27">
        <f>M74</f>
      </c>
      <c r="N27">
        <f>N74</f>
      </c>
      <c r="O27">
        <f>O74</f>
      </c>
      <c r="P27">
        <f>P74</f>
      </c>
      <c r="Q27">
        <f>Q74</f>
      </c>
      <c r="R27">
        <f>R74</f>
      </c>
      <c r="S27">
        <f>S74</f>
      </c>
      <c r="T27">
        <f>T74</f>
      </c>
      <c r="U27">
        <f>U74</f>
      </c>
      <c r="V27">
        <f>V74</f>
      </c>
      <c r="W27">
        <f>W74</f>
      </c>
      <c r="X27">
        <f>X74</f>
      </c>
      <c r="Y27">
        <f>Y74</f>
      </c>
      <c r="Z27">
        <f>Z74</f>
      </c>
      <c r="AA27">
        <f>AA74</f>
      </c>
      <c r="AB27">
        <f>AB74</f>
      </c>
      <c r="AC27">
        <f>AC74</f>
      </c>
      <c r="AD27">
        <f>AD74</f>
      </c>
      <c r="AE27">
        <f>AE74</f>
      </c>
      <c r="AF27">
        <f>AF74</f>
      </c>
      <c r="AG27">
        <f>AG74</f>
      </c>
      <c r="AH27">
        <f>AH74</f>
      </c>
      <c r="AI27">
        <f>AI74</f>
      </c>
      <c r="AJ27">
        <f>AJ74</f>
      </c>
      <c r="AK27">
        <f>AK74</f>
      </c>
      <c r="AL27">
        <f>AL74</f>
      </c>
      <c r="AM27">
        <f>AM74</f>
      </c>
      <c r="AN27">
        <f>AN74</f>
      </c>
      <c r="AO27">
        <f>AO74</f>
      </c>
      <c r="AP27">
        <f>AP74</f>
      </c>
      <c r="AQ27">
        <f>AQ74</f>
      </c>
      <c r="AR27">
        <f>AR74</f>
      </c>
      <c r="AS27">
        <f>AS74</f>
      </c>
      <c r="AT27">
        <f>AT74</f>
      </c>
      <c r="AU27">
        <f>AU74</f>
      </c>
      <c r="AV27">
        <f>AV74</f>
      </c>
      <c r="AW27">
        <f>AW74</f>
      </c>
      <c r="AX27">
        <f>AX74</f>
      </c>
      <c r="AY27">
        <f>AY74</f>
      </c>
      <c r="AZ27">
        <f>AZ74</f>
      </c>
      <c r="BA27">
        <f>BA74</f>
      </c>
      <c r="BB27">
        <f>BB74</f>
      </c>
      <c r="BC27">
        <f>BC74</f>
      </c>
      <c r="BD27">
        <f>BD74</f>
      </c>
      <c r="BE27">
        <f>BE74</f>
      </c>
      <c r="BF27">
        <f>BF74</f>
      </c>
      <c r="BG27">
        <f>BG74</f>
      </c>
      <c r="BH27">
        <f>BH74</f>
      </c>
      <c r="BI27">
        <f>BI74</f>
      </c>
      <c r="BJ27">
        <f>BJ74</f>
      </c>
      <c r="BK27">
        <f>BK74</f>
      </c>
      <c r="BL27">
        <f>BL74</f>
      </c>
      <c r="BM27">
        <f>BM74</f>
      </c>
      <c r="BN27">
        <f>BN74</f>
      </c>
      <c r="BO27">
        <f>BO74</f>
      </c>
    </row>
    <row r="28">
      <c r="B28" t="str">
        <v>Opening fee</v>
      </c>
      <c r="C28">
        <f>SUM(H28:BO28)</f>
        <v>0</v>
      </c>
      <c r="H28">
        <f>-IF(H$44=1,H72,0)</f>
        <v>0</v>
      </c>
      <c r="I28">
        <f>-IF(I$44=1,I72,0)</f>
        <v>0</v>
      </c>
      <c r="J28">
        <f>-IF(J$44=1,J72,0)</f>
        <v>0</v>
      </c>
      <c r="K28">
        <f>-IF(K$44=1,K72,0)</f>
        <v>0</v>
      </c>
      <c r="L28">
        <f>-IF(L$44=1,L72,0)</f>
        <v>0</v>
      </c>
      <c r="M28">
        <f>-IF(M$44=1,M72,0)</f>
        <v>0</v>
      </c>
      <c r="N28">
        <f>-IF(N$44=1,N72,0)</f>
        <v>0</v>
      </c>
      <c r="O28">
        <f>-IF(O$44=1,O72,0)</f>
        <v>0</v>
      </c>
      <c r="P28">
        <f>-IF(P$44=1,P72,0)</f>
        <v>0</v>
      </c>
      <c r="Q28">
        <f>-IF(Q$44=1,Q72,0)</f>
        <v>0</v>
      </c>
      <c r="R28">
        <f>-IF(R$44=1,R72,0)</f>
        <v>0</v>
      </c>
      <c r="S28">
        <f>-IF(S$44=1,S72,0)</f>
        <v>0</v>
      </c>
      <c r="T28">
        <f>-IF(T$44=1,T72,0)</f>
        <v>0</v>
      </c>
      <c r="U28">
        <f>-IF(U$44=1,U72,0)</f>
        <v>0</v>
      </c>
      <c r="V28">
        <f>-IF(V$44=1,V72,0)</f>
        <v>0</v>
      </c>
      <c r="W28">
        <f>-IF(W$44=1,W72,0)</f>
        <v>0</v>
      </c>
      <c r="X28">
        <f>-IF(X$44=1,X72,0)</f>
        <v>0</v>
      </c>
      <c r="Y28">
        <f>-IF(Y$44=1,Y72,0)</f>
        <v>0</v>
      </c>
      <c r="Z28">
        <f>-IF(Z$44=1,Z72,0)</f>
        <v>0</v>
      </c>
      <c r="AA28">
        <f>-IF(AA$44=1,AA72,0)</f>
        <v>0</v>
      </c>
      <c r="AB28">
        <f>-IF(AB$44=1,AB72,0)</f>
        <v>0</v>
      </c>
      <c r="AC28">
        <f>-IF(AC$44=1,AC72,0)</f>
        <v>0</v>
      </c>
      <c r="AD28">
        <f>-IF(AD$44=1,AD72,0)</f>
        <v>0</v>
      </c>
      <c r="AE28">
        <f>-IF(AE$44=1,AE72,0)</f>
        <v>0</v>
      </c>
      <c r="AF28">
        <f>-IF(AF$44=1,AF72,0)</f>
        <v>0</v>
      </c>
      <c r="AG28">
        <f>-IF(AG$44=1,AG72,0)</f>
        <v>0</v>
      </c>
      <c r="AH28">
        <f>-IF(AH$44=1,AH72,0)</f>
        <v>0</v>
      </c>
      <c r="AI28">
        <f>-IF(AI$44=1,AI72,0)</f>
        <v>0</v>
      </c>
      <c r="AJ28">
        <f>-IF(AJ$44=1,AJ72,0)</f>
        <v>0</v>
      </c>
      <c r="AK28">
        <f>-IF(AK$44=1,AK72,0)</f>
        <v>0</v>
      </c>
      <c r="AL28">
        <f>-IF(AL$44=1,AL72,0)</f>
        <v>0</v>
      </c>
      <c r="AM28">
        <f>-IF(AM$44=1,AM72,0)</f>
        <v>0</v>
      </c>
      <c r="AN28">
        <f>-IF(AN$44=1,AN72,0)</f>
        <v>0</v>
      </c>
      <c r="AO28">
        <f>-IF(AO$44=1,AO72,0)</f>
        <v>0</v>
      </c>
      <c r="AP28">
        <f>-IF(AP$44=1,AP72,0)</f>
        <v>0</v>
      </c>
      <c r="AQ28">
        <f>-IF(AQ$44=1,AQ72,0)</f>
        <v>0</v>
      </c>
      <c r="AR28">
        <f>-IF(AR$44=1,AR72,0)</f>
        <v>0</v>
      </c>
      <c r="AS28">
        <f>-IF(AS$44=1,AS72,0)</f>
        <v>0</v>
      </c>
      <c r="AT28">
        <f>-IF(AT$44=1,AT72,0)</f>
        <v>0</v>
      </c>
      <c r="AU28">
        <f>-IF(AU$44=1,AU72,0)</f>
        <v>0</v>
      </c>
      <c r="AV28">
        <f>-IF(AV$44=1,AV72,0)</f>
        <v>0</v>
      </c>
      <c r="AW28">
        <f>-IF(AW$44=1,AW72,0)</f>
        <v>0</v>
      </c>
      <c r="AX28">
        <f>-IF(AX$44=1,AX72,0)</f>
        <v>0</v>
      </c>
      <c r="AY28">
        <f>-IF(AY$44=1,AY72,0)</f>
        <v>0</v>
      </c>
      <c r="AZ28">
        <f>-IF(AZ$44=1,AZ72,0)</f>
        <v>0</v>
      </c>
      <c r="BA28">
        <f>-IF(BA$44=1,BA72,0)</f>
        <v>0</v>
      </c>
      <c r="BB28">
        <f>-IF(BB$44=1,BB72,0)</f>
        <v>0</v>
      </c>
      <c r="BC28">
        <f>-IF(BC$44=1,BC72,0)</f>
        <v>0</v>
      </c>
      <c r="BD28">
        <f>-IF(BD$44=1,BD72,0)</f>
        <v>0</v>
      </c>
      <c r="BE28">
        <f>-IF(BE$44=1,BE72,0)</f>
        <v>0</v>
      </c>
      <c r="BF28">
        <f>-IF(BF$44=1,BF72,0)</f>
        <v>0</v>
      </c>
      <c r="BG28">
        <f>-IF(BG$44=1,BG72,0)</f>
        <v>0</v>
      </c>
      <c r="BH28">
        <f>-IF(BH$44=1,BH72,0)</f>
        <v>0</v>
      </c>
      <c r="BI28">
        <f>-IF(BI$44=1,BI72,0)</f>
        <v>0</v>
      </c>
      <c r="BJ28">
        <f>-IF(BJ$44=1,BJ72,0)</f>
        <v>0</v>
      </c>
      <c r="BK28">
        <f>-IF(BK$44=1,BK72,0)</f>
        <v>0</v>
      </c>
      <c r="BL28">
        <f>-IF(BL$44=1,BL72,0)</f>
        <v>0</v>
      </c>
      <c r="BM28">
        <f>-IF(BM$44=1,BM72,0)</f>
        <v>0</v>
      </c>
      <c r="BN28">
        <f>-IF(BN$44=1,BN72,0)</f>
        <v>0</v>
      </c>
      <c r="BO28">
        <f>-IF(BO$44=1,BO72,0)</f>
        <v>0</v>
      </c>
    </row>
    <row r="30">
      <c r="B30" t="str">
        <v>Profit before tax (EBT)</v>
      </c>
      <c r="C30">
        <f>SUM(H30:BO30)</f>
      </c>
      <c r="H30">
        <f>H25-H27-H28</f>
      </c>
      <c r="I30">
        <f>I25-I27-I28</f>
      </c>
      <c r="J30">
        <f>J25-J27-J28</f>
      </c>
      <c r="K30">
        <f>K25-K27-K28</f>
      </c>
      <c r="L30">
        <f>L25-L27-L28</f>
      </c>
      <c r="M30">
        <f>M25-M27-M28</f>
      </c>
      <c r="N30">
        <f>N25-N27-N28</f>
      </c>
      <c r="O30">
        <f>O25-O27-O28</f>
      </c>
      <c r="P30">
        <f>P25-P27-P28</f>
      </c>
      <c r="Q30">
        <f>Q25-Q27-Q28</f>
      </c>
      <c r="R30">
        <f>R25-R27-R28</f>
      </c>
      <c r="S30">
        <f>S25-S27-S28</f>
      </c>
      <c r="T30">
        <f>T25-T27-T28</f>
      </c>
      <c r="U30">
        <f>U25-U27-U28</f>
      </c>
      <c r="V30">
        <f>V25-V27-V28</f>
      </c>
      <c r="W30">
        <f>W25-W27-W28</f>
      </c>
      <c r="X30">
        <f>X25-X27-X28</f>
      </c>
      <c r="Y30">
        <f>Y25-Y27-Y28</f>
      </c>
      <c r="Z30">
        <f>Z25-Z27-Z28</f>
      </c>
      <c r="AA30">
        <f>AA25-AA27-AA28</f>
      </c>
      <c r="AB30">
        <f>AB25-AB27-AB28</f>
      </c>
      <c r="AC30">
        <f>AC25-AC27-AC28</f>
      </c>
      <c r="AD30">
        <f>AD25-AD27-AD28</f>
      </c>
      <c r="AE30">
        <f>AE25-AE27-AE28</f>
      </c>
      <c r="AF30">
        <f>AF25-AF27-AF28</f>
      </c>
      <c r="AG30">
        <f>AG25-AG27-AG28</f>
      </c>
      <c r="AH30">
        <f>AH25-AH27-AH28</f>
      </c>
      <c r="AI30">
        <f>AI25-AI27-AI28</f>
      </c>
      <c r="AJ30">
        <f>AJ25-AJ27-AJ28</f>
      </c>
      <c r="AK30">
        <f>AK25-AK27-AK28</f>
      </c>
      <c r="AL30">
        <f>AL25-AL27-AL28</f>
      </c>
      <c r="AM30">
        <f>AM25-AM27-AM28</f>
      </c>
      <c r="AN30">
        <f>AN25-AN27-AN28</f>
      </c>
      <c r="AO30">
        <f>AO25-AO27-AO28</f>
      </c>
      <c r="AP30">
        <f>AP25-AP27-AP28</f>
      </c>
      <c r="AQ30">
        <f>AQ25-AQ27-AQ28</f>
      </c>
      <c r="AR30">
        <f>AR25-AR27-AR28</f>
      </c>
      <c r="AS30">
        <f>AS25-AS27-AS28</f>
      </c>
      <c r="AT30">
        <f>AT25-AT27-AT28</f>
      </c>
      <c r="AU30">
        <f>AU25-AU27-AU28</f>
      </c>
      <c r="AV30">
        <f>AV25-AV27-AV28</f>
      </c>
      <c r="AW30">
        <f>AW25-AW27-AW28</f>
      </c>
      <c r="AX30">
        <f>AX25-AX27-AX28</f>
      </c>
      <c r="AY30">
        <f>AY25-AY27-AY28</f>
      </c>
      <c r="AZ30">
        <f>AZ25-AZ27-AZ28</f>
      </c>
      <c r="BA30">
        <f>BA25-BA27-BA28</f>
      </c>
      <c r="BB30">
        <f>BB25-BB27-BB28</f>
      </c>
      <c r="BC30">
        <f>BC25-BC27-BC28</f>
      </c>
      <c r="BD30">
        <f>BD25-BD27-BD28</f>
      </c>
      <c r="BE30">
        <f>BE25-BE27-BE28</f>
      </c>
      <c r="BF30">
        <f>BF25-BF27-BF28</f>
      </c>
      <c r="BG30">
        <f>BG25-BG27-BG28</f>
      </c>
      <c r="BH30">
        <f>BH25-BH27-BH28</f>
      </c>
      <c r="BI30">
        <f>BI25-BI27-BI28</f>
      </c>
      <c r="BJ30">
        <f>BJ25-BJ27-BJ28</f>
      </c>
      <c r="BK30">
        <f>BK25-BK27-BK28</f>
      </c>
      <c r="BL30">
        <f>BL25-BL27-BL28</f>
      </c>
      <c r="BM30">
        <f>BM25-BM27-BM28</f>
      </c>
      <c r="BN30">
        <f>BN25-BN27-BN28</f>
      </c>
      <c r="BO30">
        <f>BO25-BO27-BO28</f>
      </c>
    </row>
    <row r="32">
      <c r="B32" t="str">
        <v>CASH FLOW (MONTHLY)</v>
      </c>
    </row>
    <row r="33">
      <c r="B33" t="str">
        <v>OPERATING CASH FLOW</v>
      </c>
    </row>
    <row r="34">
      <c r="B34" t="str">
        <v>Cash in from sales</v>
      </c>
      <c r="C34">
        <f>SUM(H34:BO34)</f>
        <v>0</v>
      </c>
      <c r="H34">
        <f>H55</f>
        <v>0</v>
      </c>
      <c r="I34">
        <f>I55</f>
        <v>0</v>
      </c>
      <c r="J34">
        <f>J55</f>
        <v>0</v>
      </c>
      <c r="K34">
        <f>K55</f>
        <v>0</v>
      </c>
      <c r="L34">
        <f>L55</f>
        <v>0</v>
      </c>
      <c r="M34">
        <f>M55</f>
        <v>0</v>
      </c>
      <c r="N34">
        <f>N55</f>
        <v>0</v>
      </c>
      <c r="O34">
        <f>O55</f>
        <v>0</v>
      </c>
      <c r="P34">
        <f>P55</f>
        <v>0</v>
      </c>
      <c r="Q34">
        <f>Q55</f>
        <v>0</v>
      </c>
      <c r="R34">
        <f>R55</f>
        <v>0</v>
      </c>
      <c r="S34">
        <f>S55</f>
        <v>0</v>
      </c>
      <c r="T34">
        <f>T55</f>
        <v>0</v>
      </c>
      <c r="U34">
        <f>U55</f>
        <v>0</v>
      </c>
      <c r="V34">
        <f>V55</f>
        <v>0</v>
      </c>
      <c r="W34">
        <f>W55</f>
        <v>0</v>
      </c>
      <c r="X34">
        <f>X55</f>
        <v>0</v>
      </c>
      <c r="Y34">
        <f>Y55</f>
        <v>0</v>
      </c>
      <c r="Z34">
        <f>Z55</f>
        <v>0</v>
      </c>
      <c r="AA34">
        <f>AA55</f>
        <v>0</v>
      </c>
      <c r="AB34">
        <f>AB55</f>
        <v>0</v>
      </c>
      <c r="AC34">
        <f>AC55</f>
        <v>0</v>
      </c>
      <c r="AD34">
        <f>AD55</f>
        <v>0</v>
      </c>
      <c r="AE34">
        <f>AE55</f>
        <v>0</v>
      </c>
      <c r="AF34">
        <f>AF55</f>
        <v>0</v>
      </c>
      <c r="AG34">
        <f>AG55</f>
        <v>0</v>
      </c>
      <c r="AH34">
        <f>AH55</f>
        <v>0</v>
      </c>
      <c r="AI34">
        <f>AI55</f>
        <v>0</v>
      </c>
      <c r="AJ34">
        <f>AJ55</f>
        <v>0</v>
      </c>
      <c r="AK34">
        <f>AK55</f>
        <v>0</v>
      </c>
      <c r="AL34">
        <f>AL55</f>
        <v>0</v>
      </c>
      <c r="AM34">
        <f>AM55</f>
        <v>0</v>
      </c>
      <c r="AN34">
        <f>AN55</f>
        <v>0</v>
      </c>
      <c r="AO34">
        <f>AO55</f>
        <v>0</v>
      </c>
      <c r="AP34">
        <f>AP55</f>
        <v>0</v>
      </c>
      <c r="AQ34">
        <f>AQ55</f>
        <v>0</v>
      </c>
      <c r="AR34">
        <f>AR55</f>
        <v>0</v>
      </c>
      <c r="AS34">
        <f>AS55</f>
        <v>0</v>
      </c>
      <c r="AT34">
        <f>AT55</f>
        <v>0</v>
      </c>
      <c r="AU34">
        <f>AU55</f>
        <v>0</v>
      </c>
      <c r="AV34">
        <f>AV55</f>
        <v>0</v>
      </c>
      <c r="AW34">
        <f>AW55</f>
        <v>0</v>
      </c>
      <c r="AX34">
        <f>AX55</f>
        <v>0</v>
      </c>
      <c r="AY34">
        <f>AY55</f>
        <v>0</v>
      </c>
      <c r="AZ34">
        <f>AZ55</f>
        <v>0</v>
      </c>
      <c r="BA34">
        <f>BA55</f>
        <v>0</v>
      </c>
      <c r="BB34">
        <f>BB55</f>
        <v>0</v>
      </c>
      <c r="BC34">
        <f>BC55</f>
        <v>0</v>
      </c>
      <c r="BD34">
        <f>BD55</f>
        <v>0</v>
      </c>
      <c r="BE34">
        <f>BE55</f>
        <v>0</v>
      </c>
      <c r="BF34">
        <f>BF55</f>
        <v>0</v>
      </c>
      <c r="BG34">
        <f>BG55</f>
        <v>0</v>
      </c>
      <c r="BH34">
        <f>BH55</f>
        <v>0</v>
      </c>
      <c r="BI34">
        <f>BI55</f>
        <v>0</v>
      </c>
      <c r="BJ34">
        <f>BJ55</f>
        <v>0</v>
      </c>
      <c r="BK34">
        <f>BK55</f>
        <v>0</v>
      </c>
      <c r="BL34">
        <f>BL55</f>
        <v>0</v>
      </c>
      <c r="BM34">
        <f>BM55</f>
        <v>0</v>
      </c>
      <c r="BN34">
        <f>BN55</f>
        <v>0</v>
      </c>
      <c r="BO34">
        <f>BO55</f>
        <v>0</v>
      </c>
    </row>
    <row r="35">
      <c r="B35" t="str">
        <v xml:space="preserve">  of which: reservation</v>
      </c>
      <c r="C35">
        <f>SUM(H35:BO35)</f>
        <v>0</v>
      </c>
      <c r="H35">
        <f>IF(AND(H$44&gt;Inputs!$D$65+Inputs!$D$67,H$44&lt;=Inputs!$D$65+Inputs!$D$67+1,Inputs!$D$66&gt;Inputs!$D$67),Inputs!$C$18*Inputs!$D$74,0)</f>
        <v>0</v>
      </c>
      <c r="I35">
        <f>IF(AND(I$44&gt;Inputs!$D$65+Inputs!$D$67,I$44&lt;=Inputs!$D$65+Inputs!$D$67+1,Inputs!$D$66&gt;Inputs!$D$67),Inputs!$C$18*Inputs!$D$74,0)</f>
        <v>0</v>
      </c>
      <c r="J35">
        <f>IF(AND(J$44&gt;Inputs!$D$65+Inputs!$D$67,J$44&lt;=Inputs!$D$65+Inputs!$D$67+1,Inputs!$D$66&gt;Inputs!$D$67),Inputs!$C$18*Inputs!$D$74,0)</f>
        <v>0</v>
      </c>
      <c r="K35">
        <f>IF(AND(K$44&gt;Inputs!$D$65+Inputs!$D$67,K$44&lt;=Inputs!$D$65+Inputs!$D$67+1,Inputs!$D$66&gt;Inputs!$D$67),Inputs!$C$18*Inputs!$D$74,0)</f>
        <v>0</v>
      </c>
      <c r="L35">
        <f>IF(AND(L$44&gt;Inputs!$D$65+Inputs!$D$67,L$44&lt;=Inputs!$D$65+Inputs!$D$67+1,Inputs!$D$66&gt;Inputs!$D$67),Inputs!$C$18*Inputs!$D$74,0)</f>
        <v>0</v>
      </c>
      <c r="M35">
        <f>IF(AND(M$44&gt;Inputs!$D$65+Inputs!$D$67,M$44&lt;=Inputs!$D$65+Inputs!$D$67+1,Inputs!$D$66&gt;Inputs!$D$67),Inputs!$C$18*Inputs!$D$74,0)</f>
        <v>0</v>
      </c>
      <c r="N35">
        <f>IF(AND(N$44&gt;Inputs!$D$65+Inputs!$D$67,N$44&lt;=Inputs!$D$65+Inputs!$D$67+1,Inputs!$D$66&gt;Inputs!$D$67),Inputs!$C$18*Inputs!$D$74,0)</f>
        <v>0</v>
      </c>
      <c r="O35">
        <f>IF(AND(O$44&gt;Inputs!$D$65+Inputs!$D$67,O$44&lt;=Inputs!$D$65+Inputs!$D$67+1,Inputs!$D$66&gt;Inputs!$D$67),Inputs!$C$18*Inputs!$D$74,0)</f>
        <v>0</v>
      </c>
      <c r="P35">
        <f>IF(AND(P$44&gt;Inputs!$D$65+Inputs!$D$67,P$44&lt;=Inputs!$D$65+Inputs!$D$67+1,Inputs!$D$66&gt;Inputs!$D$67),Inputs!$C$18*Inputs!$D$74,0)</f>
        <v>0</v>
      </c>
      <c r="Q35">
        <f>IF(AND(Q$44&gt;Inputs!$D$65+Inputs!$D$67,Q$44&lt;=Inputs!$D$65+Inputs!$D$67+1,Inputs!$D$66&gt;Inputs!$D$67),Inputs!$C$18*Inputs!$D$74,0)</f>
        <v>0</v>
      </c>
      <c r="R35">
        <f>IF(AND(R$44&gt;Inputs!$D$65+Inputs!$D$67,R$44&lt;=Inputs!$D$65+Inputs!$D$67+1,Inputs!$D$66&gt;Inputs!$D$67),Inputs!$C$18*Inputs!$D$74,0)</f>
        <v>0</v>
      </c>
      <c r="S35">
        <f>IF(AND(S$44&gt;Inputs!$D$65+Inputs!$D$67,S$44&lt;=Inputs!$D$65+Inputs!$D$67+1,Inputs!$D$66&gt;Inputs!$D$67),Inputs!$C$18*Inputs!$D$74,0)</f>
        <v>0</v>
      </c>
      <c r="T35">
        <f>IF(AND(T$44&gt;Inputs!$D$65+Inputs!$D$67,T$44&lt;=Inputs!$D$65+Inputs!$D$67+1,Inputs!$D$66&gt;Inputs!$D$67),Inputs!$C$18*Inputs!$D$74,0)</f>
        <v>0</v>
      </c>
      <c r="U35">
        <f>IF(AND(U$44&gt;Inputs!$D$65+Inputs!$D$67,U$44&lt;=Inputs!$D$65+Inputs!$D$67+1,Inputs!$D$66&gt;Inputs!$D$67),Inputs!$C$18*Inputs!$D$74,0)</f>
        <v>0</v>
      </c>
      <c r="V35">
        <f>IF(AND(V$44&gt;Inputs!$D$65+Inputs!$D$67,V$44&lt;=Inputs!$D$65+Inputs!$D$67+1,Inputs!$D$66&gt;Inputs!$D$67),Inputs!$C$18*Inputs!$D$74,0)</f>
        <v>0</v>
      </c>
      <c r="W35">
        <f>IF(AND(W$44&gt;Inputs!$D$65+Inputs!$D$67,W$44&lt;=Inputs!$D$65+Inputs!$D$67+1,Inputs!$D$66&gt;Inputs!$D$67),Inputs!$C$18*Inputs!$D$74,0)</f>
        <v>0</v>
      </c>
      <c r="X35">
        <f>IF(AND(X$44&gt;Inputs!$D$65+Inputs!$D$67,X$44&lt;=Inputs!$D$65+Inputs!$D$67+1,Inputs!$D$66&gt;Inputs!$D$67),Inputs!$C$18*Inputs!$D$74,0)</f>
        <v>0</v>
      </c>
      <c r="Y35">
        <f>IF(AND(Y$44&gt;Inputs!$D$65+Inputs!$D$67,Y$44&lt;=Inputs!$D$65+Inputs!$D$67+1,Inputs!$D$66&gt;Inputs!$D$67),Inputs!$C$18*Inputs!$D$74,0)</f>
        <v>0</v>
      </c>
      <c r="Z35">
        <f>IF(AND(Z$44&gt;Inputs!$D$65+Inputs!$D$67,Z$44&lt;=Inputs!$D$65+Inputs!$D$67+1,Inputs!$D$66&gt;Inputs!$D$67),Inputs!$C$18*Inputs!$D$74,0)</f>
        <v>0</v>
      </c>
      <c r="AA35">
        <f>IF(AND(AA$44&gt;Inputs!$D$65+Inputs!$D$67,AA$44&lt;=Inputs!$D$65+Inputs!$D$67+1,Inputs!$D$66&gt;Inputs!$D$67),Inputs!$C$18*Inputs!$D$74,0)</f>
        <v>0</v>
      </c>
      <c r="AB35">
        <f>IF(AND(AB$44&gt;Inputs!$D$65+Inputs!$D$67,AB$44&lt;=Inputs!$D$65+Inputs!$D$67+1,Inputs!$D$66&gt;Inputs!$D$67),Inputs!$C$18*Inputs!$D$74,0)</f>
        <v>0</v>
      </c>
      <c r="AC35">
        <f>IF(AND(AC$44&gt;Inputs!$D$65+Inputs!$D$67,AC$44&lt;=Inputs!$D$65+Inputs!$D$67+1,Inputs!$D$66&gt;Inputs!$D$67),Inputs!$C$18*Inputs!$D$74,0)</f>
        <v>0</v>
      </c>
      <c r="AD35">
        <f>IF(AND(AD$44&gt;Inputs!$D$65+Inputs!$D$67,AD$44&lt;=Inputs!$D$65+Inputs!$D$67+1,Inputs!$D$66&gt;Inputs!$D$67),Inputs!$C$18*Inputs!$D$74,0)</f>
        <v>0</v>
      </c>
      <c r="AE35">
        <f>IF(AND(AE$44&gt;Inputs!$D$65+Inputs!$D$67,AE$44&lt;=Inputs!$D$65+Inputs!$D$67+1,Inputs!$D$66&gt;Inputs!$D$67),Inputs!$C$18*Inputs!$D$74,0)</f>
        <v>0</v>
      </c>
      <c r="AF35">
        <f>IF(AND(AF$44&gt;Inputs!$D$65+Inputs!$D$67,AF$44&lt;=Inputs!$D$65+Inputs!$D$67+1,Inputs!$D$66&gt;Inputs!$D$67),Inputs!$C$18*Inputs!$D$74,0)</f>
        <v>0</v>
      </c>
      <c r="AG35">
        <f>IF(AND(AG$44&gt;Inputs!$D$65+Inputs!$D$67,AG$44&lt;=Inputs!$D$65+Inputs!$D$67+1,Inputs!$D$66&gt;Inputs!$D$67),Inputs!$C$18*Inputs!$D$74,0)</f>
        <v>0</v>
      </c>
      <c r="AH35">
        <f>IF(AND(AH$44&gt;Inputs!$D$65+Inputs!$D$67,AH$44&lt;=Inputs!$D$65+Inputs!$D$67+1,Inputs!$D$66&gt;Inputs!$D$67),Inputs!$C$18*Inputs!$D$74,0)</f>
        <v>0</v>
      </c>
      <c r="AI35">
        <f>IF(AND(AI$44&gt;Inputs!$D$65+Inputs!$D$67,AI$44&lt;=Inputs!$D$65+Inputs!$D$67+1,Inputs!$D$66&gt;Inputs!$D$67),Inputs!$C$18*Inputs!$D$74,0)</f>
        <v>0</v>
      </c>
      <c r="AJ35">
        <f>IF(AND(AJ$44&gt;Inputs!$D$65+Inputs!$D$67,AJ$44&lt;=Inputs!$D$65+Inputs!$D$67+1,Inputs!$D$66&gt;Inputs!$D$67),Inputs!$C$18*Inputs!$D$74,0)</f>
        <v>0</v>
      </c>
      <c r="AK35">
        <f>IF(AND(AK$44&gt;Inputs!$D$65+Inputs!$D$67,AK$44&lt;=Inputs!$D$65+Inputs!$D$67+1,Inputs!$D$66&gt;Inputs!$D$67),Inputs!$C$18*Inputs!$D$74,0)</f>
        <v>0</v>
      </c>
      <c r="AL35">
        <f>IF(AND(AL$44&gt;Inputs!$D$65+Inputs!$D$67,AL$44&lt;=Inputs!$D$65+Inputs!$D$67+1,Inputs!$D$66&gt;Inputs!$D$67),Inputs!$C$18*Inputs!$D$74,0)</f>
        <v>0</v>
      </c>
      <c r="AM35">
        <f>IF(AND(AM$44&gt;Inputs!$D$65+Inputs!$D$67,AM$44&lt;=Inputs!$D$65+Inputs!$D$67+1,Inputs!$D$66&gt;Inputs!$D$67),Inputs!$C$18*Inputs!$D$74,0)</f>
        <v>0</v>
      </c>
      <c r="AN35">
        <f>IF(AND(AN$44&gt;Inputs!$D$65+Inputs!$D$67,AN$44&lt;=Inputs!$D$65+Inputs!$D$67+1,Inputs!$D$66&gt;Inputs!$D$67),Inputs!$C$18*Inputs!$D$74,0)</f>
        <v>0</v>
      </c>
      <c r="AO35">
        <f>IF(AND(AO$44&gt;Inputs!$D$65+Inputs!$D$67,AO$44&lt;=Inputs!$D$65+Inputs!$D$67+1,Inputs!$D$66&gt;Inputs!$D$67),Inputs!$C$18*Inputs!$D$74,0)</f>
        <v>0</v>
      </c>
      <c r="AP35">
        <f>IF(AND(AP$44&gt;Inputs!$D$65+Inputs!$D$67,AP$44&lt;=Inputs!$D$65+Inputs!$D$67+1,Inputs!$D$66&gt;Inputs!$D$67),Inputs!$C$18*Inputs!$D$74,0)</f>
        <v>0</v>
      </c>
      <c r="AQ35">
        <f>IF(AND(AQ$44&gt;Inputs!$D$65+Inputs!$D$67,AQ$44&lt;=Inputs!$D$65+Inputs!$D$67+1,Inputs!$D$66&gt;Inputs!$D$67),Inputs!$C$18*Inputs!$D$74,0)</f>
        <v>0</v>
      </c>
      <c r="AR35">
        <f>IF(AND(AR$44&gt;Inputs!$D$65+Inputs!$D$67,AR$44&lt;=Inputs!$D$65+Inputs!$D$67+1,Inputs!$D$66&gt;Inputs!$D$67),Inputs!$C$18*Inputs!$D$74,0)</f>
        <v>0</v>
      </c>
      <c r="AS35">
        <f>IF(AND(AS$44&gt;Inputs!$D$65+Inputs!$D$67,AS$44&lt;=Inputs!$D$65+Inputs!$D$67+1,Inputs!$D$66&gt;Inputs!$D$67),Inputs!$C$18*Inputs!$D$74,0)</f>
        <v>0</v>
      </c>
      <c r="AT35">
        <f>IF(AND(AT$44&gt;Inputs!$D$65+Inputs!$D$67,AT$44&lt;=Inputs!$D$65+Inputs!$D$67+1,Inputs!$D$66&gt;Inputs!$D$67),Inputs!$C$18*Inputs!$D$74,0)</f>
        <v>0</v>
      </c>
      <c r="AU35">
        <f>IF(AND(AU$44&gt;Inputs!$D$65+Inputs!$D$67,AU$44&lt;=Inputs!$D$65+Inputs!$D$67+1,Inputs!$D$66&gt;Inputs!$D$67),Inputs!$C$18*Inputs!$D$74,0)</f>
        <v>0</v>
      </c>
      <c r="AV35">
        <f>IF(AND(AV$44&gt;Inputs!$D$65+Inputs!$D$67,AV$44&lt;=Inputs!$D$65+Inputs!$D$67+1,Inputs!$D$66&gt;Inputs!$D$67),Inputs!$C$18*Inputs!$D$74,0)</f>
        <v>0</v>
      </c>
      <c r="AW35">
        <f>IF(AND(AW$44&gt;Inputs!$D$65+Inputs!$D$67,AW$44&lt;=Inputs!$D$65+Inputs!$D$67+1,Inputs!$D$66&gt;Inputs!$D$67),Inputs!$C$18*Inputs!$D$74,0)</f>
        <v>0</v>
      </c>
      <c r="AX35">
        <f>IF(AND(AX$44&gt;Inputs!$D$65+Inputs!$D$67,AX$44&lt;=Inputs!$D$65+Inputs!$D$67+1,Inputs!$D$66&gt;Inputs!$D$67),Inputs!$C$18*Inputs!$D$74,0)</f>
        <v>0</v>
      </c>
      <c r="AY35">
        <f>IF(AND(AY$44&gt;Inputs!$D$65+Inputs!$D$67,AY$44&lt;=Inputs!$D$65+Inputs!$D$67+1,Inputs!$D$66&gt;Inputs!$D$67),Inputs!$C$18*Inputs!$D$74,0)</f>
        <v>0</v>
      </c>
      <c r="AZ35">
        <f>IF(AND(AZ$44&gt;Inputs!$D$65+Inputs!$D$67,AZ$44&lt;=Inputs!$D$65+Inputs!$D$67+1,Inputs!$D$66&gt;Inputs!$D$67),Inputs!$C$18*Inputs!$D$74,0)</f>
        <v>0</v>
      </c>
      <c r="BA35">
        <f>IF(AND(BA$44&gt;Inputs!$D$65+Inputs!$D$67,BA$44&lt;=Inputs!$D$65+Inputs!$D$67+1,Inputs!$D$66&gt;Inputs!$D$67),Inputs!$C$18*Inputs!$D$74,0)</f>
        <v>0</v>
      </c>
      <c r="BB35">
        <f>IF(AND(BB$44&gt;Inputs!$D$65+Inputs!$D$67,BB$44&lt;=Inputs!$D$65+Inputs!$D$67+1,Inputs!$D$66&gt;Inputs!$D$67),Inputs!$C$18*Inputs!$D$74,0)</f>
        <v>0</v>
      </c>
      <c r="BC35">
        <f>IF(AND(BC$44&gt;Inputs!$D$65+Inputs!$D$67,BC$44&lt;=Inputs!$D$65+Inputs!$D$67+1,Inputs!$D$66&gt;Inputs!$D$67),Inputs!$C$18*Inputs!$D$74,0)</f>
        <v>0</v>
      </c>
      <c r="BD35">
        <f>IF(AND(BD$44&gt;Inputs!$D$65+Inputs!$D$67,BD$44&lt;=Inputs!$D$65+Inputs!$D$67+1,Inputs!$D$66&gt;Inputs!$D$67),Inputs!$C$18*Inputs!$D$74,0)</f>
        <v>0</v>
      </c>
      <c r="BE35">
        <f>IF(AND(BE$44&gt;Inputs!$D$65+Inputs!$D$67,BE$44&lt;=Inputs!$D$65+Inputs!$D$67+1,Inputs!$D$66&gt;Inputs!$D$67),Inputs!$C$18*Inputs!$D$74,0)</f>
        <v>0</v>
      </c>
      <c r="BF35">
        <f>IF(AND(BF$44&gt;Inputs!$D$65+Inputs!$D$67,BF$44&lt;=Inputs!$D$65+Inputs!$D$67+1,Inputs!$D$66&gt;Inputs!$D$67),Inputs!$C$18*Inputs!$D$74,0)</f>
        <v>0</v>
      </c>
      <c r="BG35">
        <f>IF(AND(BG$44&gt;Inputs!$D$65+Inputs!$D$67,BG$44&lt;=Inputs!$D$65+Inputs!$D$67+1,Inputs!$D$66&gt;Inputs!$D$67),Inputs!$C$18*Inputs!$D$74,0)</f>
        <v>0</v>
      </c>
      <c r="BH35">
        <f>IF(AND(BH$44&gt;Inputs!$D$65+Inputs!$D$67,BH$44&lt;=Inputs!$D$65+Inputs!$D$67+1,Inputs!$D$66&gt;Inputs!$D$67),Inputs!$C$18*Inputs!$D$74,0)</f>
        <v>0</v>
      </c>
      <c r="BI35">
        <f>IF(AND(BI$44&gt;Inputs!$D$65+Inputs!$D$67,BI$44&lt;=Inputs!$D$65+Inputs!$D$67+1,Inputs!$D$66&gt;Inputs!$D$67),Inputs!$C$18*Inputs!$D$74,0)</f>
        <v>0</v>
      </c>
      <c r="BJ35">
        <f>IF(AND(BJ$44&gt;Inputs!$D$65+Inputs!$D$67,BJ$44&lt;=Inputs!$D$65+Inputs!$D$67+1,Inputs!$D$66&gt;Inputs!$D$67),Inputs!$C$18*Inputs!$D$74,0)</f>
        <v>0</v>
      </c>
      <c r="BK35">
        <f>IF(AND(BK$44&gt;Inputs!$D$65+Inputs!$D$67,BK$44&lt;=Inputs!$D$65+Inputs!$D$67+1,Inputs!$D$66&gt;Inputs!$D$67),Inputs!$C$18*Inputs!$D$74,0)</f>
        <v>0</v>
      </c>
      <c r="BL35">
        <f>IF(AND(BL$44&gt;Inputs!$D$65+Inputs!$D$67,BL$44&lt;=Inputs!$D$65+Inputs!$D$67+1,Inputs!$D$66&gt;Inputs!$D$67),Inputs!$C$18*Inputs!$D$74,0)</f>
        <v>0</v>
      </c>
      <c r="BM35">
        <f>IF(AND(BM$44&gt;Inputs!$D$65+Inputs!$D$67,BM$44&lt;=Inputs!$D$65+Inputs!$D$67+1,Inputs!$D$66&gt;Inputs!$D$67),Inputs!$C$18*Inputs!$D$74,0)</f>
        <v>0</v>
      </c>
      <c r="BN35">
        <f>IF(AND(BN$44&gt;Inputs!$D$65+Inputs!$D$67,BN$44&lt;=Inputs!$D$65+Inputs!$D$67+1,Inputs!$D$66&gt;Inputs!$D$67),Inputs!$C$18*Inputs!$D$74,0)</f>
        <v>0</v>
      </c>
      <c r="BO35">
        <f>IF(AND(BO$44&gt;Inputs!$D$65+Inputs!$D$67,BO$44&lt;=Inputs!$D$65+Inputs!$D$67+1,Inputs!$D$66&gt;Inputs!$D$67),Inputs!$C$18*Inputs!$D$74,0)</f>
        <v>0</v>
      </c>
    </row>
    <row r="36">
      <c r="B36" t="str">
        <v xml:space="preserve">  of which: progress payments</v>
      </c>
      <c r="C36">
        <f>SUM(H36:BO36)</f>
        <v>0</v>
      </c>
      <c r="H36">
        <f>IF(AND(H$44&gt;Inputs!$D$65+Inputs!$D$67,H$44&lt;=Inputs!$D$65+Inputs!$D$66,Inputs!$D$66&gt;Inputs!$D$67),Inputs!$C$18*Inputs!$D$75/MAX(Inputs!$D$66-Inputs!$D$67,1),0)</f>
        <v>0</v>
      </c>
      <c r="I36">
        <f>IF(AND(I$44&gt;Inputs!$D$65+Inputs!$D$67,I$44&lt;=Inputs!$D$65+Inputs!$D$66,Inputs!$D$66&gt;Inputs!$D$67),Inputs!$C$18*Inputs!$D$75/MAX(Inputs!$D$66-Inputs!$D$67,1),0)</f>
        <v>0</v>
      </c>
      <c r="J36">
        <f>IF(AND(J$44&gt;Inputs!$D$65+Inputs!$D$67,J$44&lt;=Inputs!$D$65+Inputs!$D$66,Inputs!$D$66&gt;Inputs!$D$67),Inputs!$C$18*Inputs!$D$75/MAX(Inputs!$D$66-Inputs!$D$67,1),0)</f>
        <v>0</v>
      </c>
      <c r="K36">
        <f>IF(AND(K$44&gt;Inputs!$D$65+Inputs!$D$67,K$44&lt;=Inputs!$D$65+Inputs!$D$66,Inputs!$D$66&gt;Inputs!$D$67),Inputs!$C$18*Inputs!$D$75/MAX(Inputs!$D$66-Inputs!$D$67,1),0)</f>
        <v>0</v>
      </c>
      <c r="L36">
        <f>IF(AND(L$44&gt;Inputs!$D$65+Inputs!$D$67,L$44&lt;=Inputs!$D$65+Inputs!$D$66,Inputs!$D$66&gt;Inputs!$D$67),Inputs!$C$18*Inputs!$D$75/MAX(Inputs!$D$66-Inputs!$D$67,1),0)</f>
        <v>0</v>
      </c>
      <c r="M36">
        <f>IF(AND(M$44&gt;Inputs!$D$65+Inputs!$D$67,M$44&lt;=Inputs!$D$65+Inputs!$D$66,Inputs!$D$66&gt;Inputs!$D$67),Inputs!$C$18*Inputs!$D$75/MAX(Inputs!$D$66-Inputs!$D$67,1),0)</f>
        <v>0</v>
      </c>
      <c r="N36">
        <f>IF(AND(N$44&gt;Inputs!$D$65+Inputs!$D$67,N$44&lt;=Inputs!$D$65+Inputs!$D$66,Inputs!$D$66&gt;Inputs!$D$67),Inputs!$C$18*Inputs!$D$75/MAX(Inputs!$D$66-Inputs!$D$67,1),0)</f>
        <v>0</v>
      </c>
      <c r="O36">
        <f>IF(AND(O$44&gt;Inputs!$D$65+Inputs!$D$67,O$44&lt;=Inputs!$D$65+Inputs!$D$66,Inputs!$D$66&gt;Inputs!$D$67),Inputs!$C$18*Inputs!$D$75/MAX(Inputs!$D$66-Inputs!$D$67,1),0)</f>
        <v>0</v>
      </c>
      <c r="P36">
        <f>IF(AND(P$44&gt;Inputs!$D$65+Inputs!$D$67,P$44&lt;=Inputs!$D$65+Inputs!$D$66,Inputs!$D$66&gt;Inputs!$D$67),Inputs!$C$18*Inputs!$D$75/MAX(Inputs!$D$66-Inputs!$D$67,1),0)</f>
        <v>0</v>
      </c>
      <c r="Q36">
        <f>IF(AND(Q$44&gt;Inputs!$D$65+Inputs!$D$67,Q$44&lt;=Inputs!$D$65+Inputs!$D$66,Inputs!$D$66&gt;Inputs!$D$67),Inputs!$C$18*Inputs!$D$75/MAX(Inputs!$D$66-Inputs!$D$67,1),0)</f>
        <v>0</v>
      </c>
      <c r="R36">
        <f>IF(AND(R$44&gt;Inputs!$D$65+Inputs!$D$67,R$44&lt;=Inputs!$D$65+Inputs!$D$66,Inputs!$D$66&gt;Inputs!$D$67),Inputs!$C$18*Inputs!$D$75/MAX(Inputs!$D$66-Inputs!$D$67,1),0)</f>
        <v>0</v>
      </c>
      <c r="S36">
        <f>IF(AND(S$44&gt;Inputs!$D$65+Inputs!$D$67,S$44&lt;=Inputs!$D$65+Inputs!$D$66,Inputs!$D$66&gt;Inputs!$D$67),Inputs!$C$18*Inputs!$D$75/MAX(Inputs!$D$66-Inputs!$D$67,1),0)</f>
        <v>0</v>
      </c>
      <c r="T36">
        <f>IF(AND(T$44&gt;Inputs!$D$65+Inputs!$D$67,T$44&lt;=Inputs!$D$65+Inputs!$D$66,Inputs!$D$66&gt;Inputs!$D$67),Inputs!$C$18*Inputs!$D$75/MAX(Inputs!$D$66-Inputs!$D$67,1),0)</f>
        <v>0</v>
      </c>
      <c r="U36">
        <f>IF(AND(U$44&gt;Inputs!$D$65+Inputs!$D$67,U$44&lt;=Inputs!$D$65+Inputs!$D$66,Inputs!$D$66&gt;Inputs!$D$67),Inputs!$C$18*Inputs!$D$75/MAX(Inputs!$D$66-Inputs!$D$67,1),0)</f>
        <v>0</v>
      </c>
      <c r="V36">
        <f>IF(AND(V$44&gt;Inputs!$D$65+Inputs!$D$67,V$44&lt;=Inputs!$D$65+Inputs!$D$66,Inputs!$D$66&gt;Inputs!$D$67),Inputs!$C$18*Inputs!$D$75/MAX(Inputs!$D$66-Inputs!$D$67,1),0)</f>
        <v>0</v>
      </c>
      <c r="W36">
        <f>IF(AND(W$44&gt;Inputs!$D$65+Inputs!$D$67,W$44&lt;=Inputs!$D$65+Inputs!$D$66,Inputs!$D$66&gt;Inputs!$D$67),Inputs!$C$18*Inputs!$D$75/MAX(Inputs!$D$66-Inputs!$D$67,1),0)</f>
        <v>0</v>
      </c>
      <c r="X36">
        <f>IF(AND(X$44&gt;Inputs!$D$65+Inputs!$D$67,X$44&lt;=Inputs!$D$65+Inputs!$D$66,Inputs!$D$66&gt;Inputs!$D$67),Inputs!$C$18*Inputs!$D$75/MAX(Inputs!$D$66-Inputs!$D$67,1),0)</f>
        <v>0</v>
      </c>
      <c r="Y36">
        <f>IF(AND(Y$44&gt;Inputs!$D$65+Inputs!$D$67,Y$44&lt;=Inputs!$D$65+Inputs!$D$66,Inputs!$D$66&gt;Inputs!$D$67),Inputs!$C$18*Inputs!$D$75/MAX(Inputs!$D$66-Inputs!$D$67,1),0)</f>
        <v>0</v>
      </c>
      <c r="Z36">
        <f>IF(AND(Z$44&gt;Inputs!$D$65+Inputs!$D$67,Z$44&lt;=Inputs!$D$65+Inputs!$D$66,Inputs!$D$66&gt;Inputs!$D$67),Inputs!$C$18*Inputs!$D$75/MAX(Inputs!$D$66-Inputs!$D$67,1),0)</f>
        <v>0</v>
      </c>
      <c r="AA36">
        <f>IF(AND(AA$44&gt;Inputs!$D$65+Inputs!$D$67,AA$44&lt;=Inputs!$D$65+Inputs!$D$66,Inputs!$D$66&gt;Inputs!$D$67),Inputs!$C$18*Inputs!$D$75/MAX(Inputs!$D$66-Inputs!$D$67,1),0)</f>
        <v>0</v>
      </c>
      <c r="AB36">
        <f>IF(AND(AB$44&gt;Inputs!$D$65+Inputs!$D$67,AB$44&lt;=Inputs!$D$65+Inputs!$D$66,Inputs!$D$66&gt;Inputs!$D$67),Inputs!$C$18*Inputs!$D$75/MAX(Inputs!$D$66-Inputs!$D$67,1),0)</f>
        <v>0</v>
      </c>
      <c r="AC36">
        <f>IF(AND(AC$44&gt;Inputs!$D$65+Inputs!$D$67,AC$44&lt;=Inputs!$D$65+Inputs!$D$66,Inputs!$D$66&gt;Inputs!$D$67),Inputs!$C$18*Inputs!$D$75/MAX(Inputs!$D$66-Inputs!$D$67,1),0)</f>
        <v>0</v>
      </c>
      <c r="AD36">
        <f>IF(AND(AD$44&gt;Inputs!$D$65+Inputs!$D$67,AD$44&lt;=Inputs!$D$65+Inputs!$D$66,Inputs!$D$66&gt;Inputs!$D$67),Inputs!$C$18*Inputs!$D$75/MAX(Inputs!$D$66-Inputs!$D$67,1),0)</f>
        <v>0</v>
      </c>
      <c r="AE36">
        <f>IF(AND(AE$44&gt;Inputs!$D$65+Inputs!$D$67,AE$44&lt;=Inputs!$D$65+Inputs!$D$66,Inputs!$D$66&gt;Inputs!$D$67),Inputs!$C$18*Inputs!$D$75/MAX(Inputs!$D$66-Inputs!$D$67,1),0)</f>
        <v>0</v>
      </c>
      <c r="AF36">
        <f>IF(AND(AF$44&gt;Inputs!$D$65+Inputs!$D$67,AF$44&lt;=Inputs!$D$65+Inputs!$D$66,Inputs!$D$66&gt;Inputs!$D$67),Inputs!$C$18*Inputs!$D$75/MAX(Inputs!$D$66-Inputs!$D$67,1),0)</f>
        <v>0</v>
      </c>
      <c r="AG36">
        <f>IF(AND(AG$44&gt;Inputs!$D$65+Inputs!$D$67,AG$44&lt;=Inputs!$D$65+Inputs!$D$66,Inputs!$D$66&gt;Inputs!$D$67),Inputs!$C$18*Inputs!$D$75/MAX(Inputs!$D$66-Inputs!$D$67,1),0)</f>
        <v>0</v>
      </c>
      <c r="AH36">
        <f>IF(AND(AH$44&gt;Inputs!$D$65+Inputs!$D$67,AH$44&lt;=Inputs!$D$65+Inputs!$D$66,Inputs!$D$66&gt;Inputs!$D$67),Inputs!$C$18*Inputs!$D$75/MAX(Inputs!$D$66-Inputs!$D$67,1),0)</f>
        <v>0</v>
      </c>
      <c r="AI36">
        <f>IF(AND(AI$44&gt;Inputs!$D$65+Inputs!$D$67,AI$44&lt;=Inputs!$D$65+Inputs!$D$66,Inputs!$D$66&gt;Inputs!$D$67),Inputs!$C$18*Inputs!$D$75/MAX(Inputs!$D$66-Inputs!$D$67,1),0)</f>
        <v>0</v>
      </c>
      <c r="AJ36">
        <f>IF(AND(AJ$44&gt;Inputs!$D$65+Inputs!$D$67,AJ$44&lt;=Inputs!$D$65+Inputs!$D$66,Inputs!$D$66&gt;Inputs!$D$67),Inputs!$C$18*Inputs!$D$75/MAX(Inputs!$D$66-Inputs!$D$67,1),0)</f>
        <v>0</v>
      </c>
      <c r="AK36">
        <f>IF(AND(AK$44&gt;Inputs!$D$65+Inputs!$D$67,AK$44&lt;=Inputs!$D$65+Inputs!$D$66,Inputs!$D$66&gt;Inputs!$D$67),Inputs!$C$18*Inputs!$D$75/MAX(Inputs!$D$66-Inputs!$D$67,1),0)</f>
        <v>0</v>
      </c>
      <c r="AL36">
        <f>IF(AND(AL$44&gt;Inputs!$D$65+Inputs!$D$67,AL$44&lt;=Inputs!$D$65+Inputs!$D$66,Inputs!$D$66&gt;Inputs!$D$67),Inputs!$C$18*Inputs!$D$75/MAX(Inputs!$D$66-Inputs!$D$67,1),0)</f>
        <v>0</v>
      </c>
      <c r="AM36">
        <f>IF(AND(AM$44&gt;Inputs!$D$65+Inputs!$D$67,AM$44&lt;=Inputs!$D$65+Inputs!$D$66,Inputs!$D$66&gt;Inputs!$D$67),Inputs!$C$18*Inputs!$D$75/MAX(Inputs!$D$66-Inputs!$D$67,1),0)</f>
        <v>0</v>
      </c>
      <c r="AN36">
        <f>IF(AND(AN$44&gt;Inputs!$D$65+Inputs!$D$67,AN$44&lt;=Inputs!$D$65+Inputs!$D$66,Inputs!$D$66&gt;Inputs!$D$67),Inputs!$C$18*Inputs!$D$75/MAX(Inputs!$D$66-Inputs!$D$67,1),0)</f>
        <v>0</v>
      </c>
      <c r="AO36">
        <f>IF(AND(AO$44&gt;Inputs!$D$65+Inputs!$D$67,AO$44&lt;=Inputs!$D$65+Inputs!$D$66,Inputs!$D$66&gt;Inputs!$D$67),Inputs!$C$18*Inputs!$D$75/MAX(Inputs!$D$66-Inputs!$D$67,1),0)</f>
        <v>0</v>
      </c>
      <c r="AP36">
        <f>IF(AND(AP$44&gt;Inputs!$D$65+Inputs!$D$67,AP$44&lt;=Inputs!$D$65+Inputs!$D$66,Inputs!$D$66&gt;Inputs!$D$67),Inputs!$C$18*Inputs!$D$75/MAX(Inputs!$D$66-Inputs!$D$67,1),0)</f>
        <v>0</v>
      </c>
      <c r="AQ36">
        <f>IF(AND(AQ$44&gt;Inputs!$D$65+Inputs!$D$67,AQ$44&lt;=Inputs!$D$65+Inputs!$D$66,Inputs!$D$66&gt;Inputs!$D$67),Inputs!$C$18*Inputs!$D$75/MAX(Inputs!$D$66-Inputs!$D$67,1),0)</f>
        <v>0</v>
      </c>
      <c r="AR36">
        <f>IF(AND(AR$44&gt;Inputs!$D$65+Inputs!$D$67,AR$44&lt;=Inputs!$D$65+Inputs!$D$66,Inputs!$D$66&gt;Inputs!$D$67),Inputs!$C$18*Inputs!$D$75/MAX(Inputs!$D$66-Inputs!$D$67,1),0)</f>
        <v>0</v>
      </c>
      <c r="AS36">
        <f>IF(AND(AS$44&gt;Inputs!$D$65+Inputs!$D$67,AS$44&lt;=Inputs!$D$65+Inputs!$D$66,Inputs!$D$66&gt;Inputs!$D$67),Inputs!$C$18*Inputs!$D$75/MAX(Inputs!$D$66-Inputs!$D$67,1),0)</f>
        <v>0</v>
      </c>
      <c r="AT36">
        <f>IF(AND(AT$44&gt;Inputs!$D$65+Inputs!$D$67,AT$44&lt;=Inputs!$D$65+Inputs!$D$66,Inputs!$D$66&gt;Inputs!$D$67),Inputs!$C$18*Inputs!$D$75/MAX(Inputs!$D$66-Inputs!$D$67,1),0)</f>
        <v>0</v>
      </c>
      <c r="AU36">
        <f>IF(AND(AU$44&gt;Inputs!$D$65+Inputs!$D$67,AU$44&lt;=Inputs!$D$65+Inputs!$D$66,Inputs!$D$66&gt;Inputs!$D$67),Inputs!$C$18*Inputs!$D$75/MAX(Inputs!$D$66-Inputs!$D$67,1),0)</f>
        <v>0</v>
      </c>
      <c r="AV36">
        <f>IF(AND(AV$44&gt;Inputs!$D$65+Inputs!$D$67,AV$44&lt;=Inputs!$D$65+Inputs!$D$66,Inputs!$D$66&gt;Inputs!$D$67),Inputs!$C$18*Inputs!$D$75/MAX(Inputs!$D$66-Inputs!$D$67,1),0)</f>
        <v>0</v>
      </c>
      <c r="AW36">
        <f>IF(AND(AW$44&gt;Inputs!$D$65+Inputs!$D$67,AW$44&lt;=Inputs!$D$65+Inputs!$D$66,Inputs!$D$66&gt;Inputs!$D$67),Inputs!$C$18*Inputs!$D$75/MAX(Inputs!$D$66-Inputs!$D$67,1),0)</f>
        <v>0</v>
      </c>
      <c r="AX36">
        <f>IF(AND(AX$44&gt;Inputs!$D$65+Inputs!$D$67,AX$44&lt;=Inputs!$D$65+Inputs!$D$66,Inputs!$D$66&gt;Inputs!$D$67),Inputs!$C$18*Inputs!$D$75/MAX(Inputs!$D$66-Inputs!$D$67,1),0)</f>
        <v>0</v>
      </c>
      <c r="AY36">
        <f>IF(AND(AY$44&gt;Inputs!$D$65+Inputs!$D$67,AY$44&lt;=Inputs!$D$65+Inputs!$D$66,Inputs!$D$66&gt;Inputs!$D$67),Inputs!$C$18*Inputs!$D$75/MAX(Inputs!$D$66-Inputs!$D$67,1),0)</f>
        <v>0</v>
      </c>
      <c r="AZ36">
        <f>IF(AND(AZ$44&gt;Inputs!$D$65+Inputs!$D$67,AZ$44&lt;=Inputs!$D$65+Inputs!$D$66,Inputs!$D$66&gt;Inputs!$D$67),Inputs!$C$18*Inputs!$D$75/MAX(Inputs!$D$66-Inputs!$D$67,1),0)</f>
        <v>0</v>
      </c>
      <c r="BA36">
        <f>IF(AND(BA$44&gt;Inputs!$D$65+Inputs!$D$67,BA$44&lt;=Inputs!$D$65+Inputs!$D$66,Inputs!$D$66&gt;Inputs!$D$67),Inputs!$C$18*Inputs!$D$75/MAX(Inputs!$D$66-Inputs!$D$67,1),0)</f>
        <v>0</v>
      </c>
      <c r="BB36">
        <f>IF(AND(BB$44&gt;Inputs!$D$65+Inputs!$D$67,BB$44&lt;=Inputs!$D$65+Inputs!$D$66,Inputs!$D$66&gt;Inputs!$D$67),Inputs!$C$18*Inputs!$D$75/MAX(Inputs!$D$66-Inputs!$D$67,1),0)</f>
        <v>0</v>
      </c>
      <c r="BC36">
        <f>IF(AND(BC$44&gt;Inputs!$D$65+Inputs!$D$67,BC$44&lt;=Inputs!$D$65+Inputs!$D$66,Inputs!$D$66&gt;Inputs!$D$67),Inputs!$C$18*Inputs!$D$75/MAX(Inputs!$D$66-Inputs!$D$67,1),0)</f>
        <v>0</v>
      </c>
      <c r="BD36">
        <f>IF(AND(BD$44&gt;Inputs!$D$65+Inputs!$D$67,BD$44&lt;=Inputs!$D$65+Inputs!$D$66,Inputs!$D$66&gt;Inputs!$D$67),Inputs!$C$18*Inputs!$D$75/MAX(Inputs!$D$66-Inputs!$D$67,1),0)</f>
        <v>0</v>
      </c>
      <c r="BE36">
        <f>IF(AND(BE$44&gt;Inputs!$D$65+Inputs!$D$67,BE$44&lt;=Inputs!$D$65+Inputs!$D$66,Inputs!$D$66&gt;Inputs!$D$67),Inputs!$C$18*Inputs!$D$75/MAX(Inputs!$D$66-Inputs!$D$67,1),0)</f>
        <v>0</v>
      </c>
      <c r="BF36">
        <f>IF(AND(BF$44&gt;Inputs!$D$65+Inputs!$D$67,BF$44&lt;=Inputs!$D$65+Inputs!$D$66,Inputs!$D$66&gt;Inputs!$D$67),Inputs!$C$18*Inputs!$D$75/MAX(Inputs!$D$66-Inputs!$D$67,1),0)</f>
        <v>0</v>
      </c>
      <c r="BG36">
        <f>IF(AND(BG$44&gt;Inputs!$D$65+Inputs!$D$67,BG$44&lt;=Inputs!$D$65+Inputs!$D$66,Inputs!$D$66&gt;Inputs!$D$67),Inputs!$C$18*Inputs!$D$75/MAX(Inputs!$D$66-Inputs!$D$67,1),0)</f>
        <v>0</v>
      </c>
      <c r="BH36">
        <f>IF(AND(BH$44&gt;Inputs!$D$65+Inputs!$D$67,BH$44&lt;=Inputs!$D$65+Inputs!$D$66,Inputs!$D$66&gt;Inputs!$D$67),Inputs!$C$18*Inputs!$D$75/MAX(Inputs!$D$66-Inputs!$D$67,1),0)</f>
        <v>0</v>
      </c>
      <c r="BI36">
        <f>IF(AND(BI$44&gt;Inputs!$D$65+Inputs!$D$67,BI$44&lt;=Inputs!$D$65+Inputs!$D$66,Inputs!$D$66&gt;Inputs!$D$67),Inputs!$C$18*Inputs!$D$75/MAX(Inputs!$D$66-Inputs!$D$67,1),0)</f>
        <v>0</v>
      </c>
      <c r="BJ36">
        <f>IF(AND(BJ$44&gt;Inputs!$D$65+Inputs!$D$67,BJ$44&lt;=Inputs!$D$65+Inputs!$D$66,Inputs!$D$66&gt;Inputs!$D$67),Inputs!$C$18*Inputs!$D$75/MAX(Inputs!$D$66-Inputs!$D$67,1),0)</f>
        <v>0</v>
      </c>
      <c r="BK36">
        <f>IF(AND(BK$44&gt;Inputs!$D$65+Inputs!$D$67,BK$44&lt;=Inputs!$D$65+Inputs!$D$66,Inputs!$D$66&gt;Inputs!$D$67),Inputs!$C$18*Inputs!$D$75/MAX(Inputs!$D$66-Inputs!$D$67,1),0)</f>
        <v>0</v>
      </c>
      <c r="BL36">
        <f>IF(AND(BL$44&gt;Inputs!$D$65+Inputs!$D$67,BL$44&lt;=Inputs!$D$65+Inputs!$D$66,Inputs!$D$66&gt;Inputs!$D$67),Inputs!$C$18*Inputs!$D$75/MAX(Inputs!$D$66-Inputs!$D$67,1),0)</f>
        <v>0</v>
      </c>
      <c r="BM36">
        <f>IF(AND(BM$44&gt;Inputs!$D$65+Inputs!$D$67,BM$44&lt;=Inputs!$D$65+Inputs!$D$66,Inputs!$D$66&gt;Inputs!$D$67),Inputs!$C$18*Inputs!$D$75/MAX(Inputs!$D$66-Inputs!$D$67,1),0)</f>
        <v>0</v>
      </c>
      <c r="BN36">
        <f>IF(AND(BN$44&gt;Inputs!$D$65+Inputs!$D$67,BN$44&lt;=Inputs!$D$65+Inputs!$D$66,Inputs!$D$66&gt;Inputs!$D$67),Inputs!$C$18*Inputs!$D$75/MAX(Inputs!$D$66-Inputs!$D$67,1),0)</f>
        <v>0</v>
      </c>
      <c r="BO36">
        <f>IF(AND(BO$44&gt;Inputs!$D$65+Inputs!$D$67,BO$44&lt;=Inputs!$D$65+Inputs!$D$66,Inputs!$D$66&gt;Inputs!$D$67),Inputs!$C$18*Inputs!$D$75/MAX(Inputs!$D$66-Inputs!$D$67,1),0)</f>
        <v>0</v>
      </c>
    </row>
    <row r="37">
      <c r="B37" t="str">
        <v xml:space="preserve">  of which: delivery</v>
      </c>
      <c r="C37">
        <f>SUM(H37:BO37)</f>
        <v>0</v>
      </c>
      <c r="H37">
        <f>IF(H$44=Inputs!$D$65+Inputs!$D$66+Inputs!$D$77,Inputs!$C$18*Inputs!$D$76,0)</f>
        <v>0</v>
      </c>
      <c r="I37">
        <f>IF(I$44=Inputs!$D$65+Inputs!$D$66+Inputs!$D$77,Inputs!$C$18*Inputs!$D$76,0)</f>
        <v>0</v>
      </c>
      <c r="J37">
        <f>IF(J$44=Inputs!$D$65+Inputs!$D$66+Inputs!$D$77,Inputs!$C$18*Inputs!$D$76,0)</f>
        <v>0</v>
      </c>
      <c r="K37">
        <f>IF(K$44=Inputs!$D$65+Inputs!$D$66+Inputs!$D$77,Inputs!$C$18*Inputs!$D$76,0)</f>
        <v>0</v>
      </c>
      <c r="L37">
        <f>IF(L$44=Inputs!$D$65+Inputs!$D$66+Inputs!$D$77,Inputs!$C$18*Inputs!$D$76,0)</f>
        <v>0</v>
      </c>
      <c r="M37">
        <f>IF(M$44=Inputs!$D$65+Inputs!$D$66+Inputs!$D$77,Inputs!$C$18*Inputs!$D$76,0)</f>
        <v>0</v>
      </c>
      <c r="N37">
        <f>IF(N$44=Inputs!$D$65+Inputs!$D$66+Inputs!$D$77,Inputs!$C$18*Inputs!$D$76,0)</f>
        <v>0</v>
      </c>
      <c r="O37">
        <f>IF(O$44=Inputs!$D$65+Inputs!$D$66+Inputs!$D$77,Inputs!$C$18*Inputs!$D$76,0)</f>
        <v>0</v>
      </c>
      <c r="P37">
        <f>IF(P$44=Inputs!$D$65+Inputs!$D$66+Inputs!$D$77,Inputs!$C$18*Inputs!$D$76,0)</f>
        <v>0</v>
      </c>
      <c r="Q37">
        <f>IF(Q$44=Inputs!$D$65+Inputs!$D$66+Inputs!$D$77,Inputs!$C$18*Inputs!$D$76,0)</f>
        <v>0</v>
      </c>
      <c r="R37">
        <f>IF(R$44=Inputs!$D$65+Inputs!$D$66+Inputs!$D$77,Inputs!$C$18*Inputs!$D$76,0)</f>
        <v>0</v>
      </c>
      <c r="S37">
        <f>IF(S$44=Inputs!$D$65+Inputs!$D$66+Inputs!$D$77,Inputs!$C$18*Inputs!$D$76,0)</f>
        <v>0</v>
      </c>
      <c r="T37">
        <f>IF(T$44=Inputs!$D$65+Inputs!$D$66+Inputs!$D$77,Inputs!$C$18*Inputs!$D$76,0)</f>
        <v>0</v>
      </c>
      <c r="U37">
        <f>IF(U$44=Inputs!$D$65+Inputs!$D$66+Inputs!$D$77,Inputs!$C$18*Inputs!$D$76,0)</f>
        <v>0</v>
      </c>
      <c r="V37">
        <f>IF(V$44=Inputs!$D$65+Inputs!$D$66+Inputs!$D$77,Inputs!$C$18*Inputs!$D$76,0)</f>
        <v>0</v>
      </c>
      <c r="W37">
        <f>IF(W$44=Inputs!$D$65+Inputs!$D$66+Inputs!$D$77,Inputs!$C$18*Inputs!$D$76,0)</f>
        <v>0</v>
      </c>
      <c r="X37">
        <f>IF(X$44=Inputs!$D$65+Inputs!$D$66+Inputs!$D$77,Inputs!$C$18*Inputs!$D$76,0)</f>
        <v>0</v>
      </c>
      <c r="Y37">
        <f>IF(Y$44=Inputs!$D$65+Inputs!$D$66+Inputs!$D$77,Inputs!$C$18*Inputs!$D$76,0)</f>
        <v>0</v>
      </c>
      <c r="Z37">
        <f>IF(Z$44=Inputs!$D$65+Inputs!$D$66+Inputs!$D$77,Inputs!$C$18*Inputs!$D$76,0)</f>
        <v>0</v>
      </c>
      <c r="AA37">
        <f>IF(AA$44=Inputs!$D$65+Inputs!$D$66+Inputs!$D$77,Inputs!$C$18*Inputs!$D$76,0)</f>
        <v>0</v>
      </c>
      <c r="AB37">
        <f>IF(AB$44=Inputs!$D$65+Inputs!$D$66+Inputs!$D$77,Inputs!$C$18*Inputs!$D$76,0)</f>
        <v>0</v>
      </c>
      <c r="AC37">
        <f>IF(AC$44=Inputs!$D$65+Inputs!$D$66+Inputs!$D$77,Inputs!$C$18*Inputs!$D$76,0)</f>
        <v>0</v>
      </c>
      <c r="AD37">
        <f>IF(AD$44=Inputs!$D$65+Inputs!$D$66+Inputs!$D$77,Inputs!$C$18*Inputs!$D$76,0)</f>
        <v>0</v>
      </c>
      <c r="AE37">
        <f>IF(AE$44=Inputs!$D$65+Inputs!$D$66+Inputs!$D$77,Inputs!$C$18*Inputs!$D$76,0)</f>
        <v>0</v>
      </c>
      <c r="AF37">
        <f>IF(AF$44=Inputs!$D$65+Inputs!$D$66+Inputs!$D$77,Inputs!$C$18*Inputs!$D$76,0)</f>
        <v>0</v>
      </c>
      <c r="AG37">
        <f>IF(AG$44=Inputs!$D$65+Inputs!$D$66+Inputs!$D$77,Inputs!$C$18*Inputs!$D$76,0)</f>
        <v>0</v>
      </c>
      <c r="AH37">
        <f>IF(AH$44=Inputs!$D$65+Inputs!$D$66+Inputs!$D$77,Inputs!$C$18*Inputs!$D$76,0)</f>
        <v>0</v>
      </c>
      <c r="AI37">
        <f>IF(AI$44=Inputs!$D$65+Inputs!$D$66+Inputs!$D$77,Inputs!$C$18*Inputs!$D$76,0)</f>
        <v>0</v>
      </c>
      <c r="AJ37">
        <f>IF(AJ$44=Inputs!$D$65+Inputs!$D$66+Inputs!$D$77,Inputs!$C$18*Inputs!$D$76,0)</f>
        <v>0</v>
      </c>
      <c r="AK37">
        <f>IF(AK$44=Inputs!$D$65+Inputs!$D$66+Inputs!$D$77,Inputs!$C$18*Inputs!$D$76,0)</f>
        <v>0</v>
      </c>
      <c r="AL37">
        <f>IF(AL$44=Inputs!$D$65+Inputs!$D$66+Inputs!$D$77,Inputs!$C$18*Inputs!$D$76,0)</f>
        <v>0</v>
      </c>
      <c r="AM37">
        <f>IF(AM$44=Inputs!$D$65+Inputs!$D$66+Inputs!$D$77,Inputs!$C$18*Inputs!$D$76,0)</f>
        <v>0</v>
      </c>
      <c r="AN37">
        <f>IF(AN$44=Inputs!$D$65+Inputs!$D$66+Inputs!$D$77,Inputs!$C$18*Inputs!$D$76,0)</f>
        <v>0</v>
      </c>
      <c r="AO37">
        <f>IF(AO$44=Inputs!$D$65+Inputs!$D$66+Inputs!$D$77,Inputs!$C$18*Inputs!$D$76,0)</f>
        <v>0</v>
      </c>
      <c r="AP37">
        <f>IF(AP$44=Inputs!$D$65+Inputs!$D$66+Inputs!$D$77,Inputs!$C$18*Inputs!$D$76,0)</f>
        <v>0</v>
      </c>
      <c r="AQ37">
        <f>IF(AQ$44=Inputs!$D$65+Inputs!$D$66+Inputs!$D$77,Inputs!$C$18*Inputs!$D$76,0)</f>
        <v>0</v>
      </c>
      <c r="AR37">
        <f>IF(AR$44=Inputs!$D$65+Inputs!$D$66+Inputs!$D$77,Inputs!$C$18*Inputs!$D$76,0)</f>
        <v>0</v>
      </c>
      <c r="AS37">
        <f>IF(AS$44=Inputs!$D$65+Inputs!$D$66+Inputs!$D$77,Inputs!$C$18*Inputs!$D$76,0)</f>
        <v>0</v>
      </c>
      <c r="AT37">
        <f>IF(AT$44=Inputs!$D$65+Inputs!$D$66+Inputs!$D$77,Inputs!$C$18*Inputs!$D$76,0)</f>
        <v>0</v>
      </c>
      <c r="AU37">
        <f>IF(AU$44=Inputs!$D$65+Inputs!$D$66+Inputs!$D$77,Inputs!$C$18*Inputs!$D$76,0)</f>
        <v>0</v>
      </c>
      <c r="AV37">
        <f>IF(AV$44=Inputs!$D$65+Inputs!$D$66+Inputs!$D$77,Inputs!$C$18*Inputs!$D$76,0)</f>
        <v>0</v>
      </c>
      <c r="AW37">
        <f>IF(AW$44=Inputs!$D$65+Inputs!$D$66+Inputs!$D$77,Inputs!$C$18*Inputs!$D$76,0)</f>
        <v>0</v>
      </c>
      <c r="AX37">
        <f>IF(AX$44=Inputs!$D$65+Inputs!$D$66+Inputs!$D$77,Inputs!$C$18*Inputs!$D$76,0)</f>
        <v>0</v>
      </c>
      <c r="AY37">
        <f>IF(AY$44=Inputs!$D$65+Inputs!$D$66+Inputs!$D$77,Inputs!$C$18*Inputs!$D$76,0)</f>
        <v>0</v>
      </c>
      <c r="AZ37">
        <f>IF(AZ$44=Inputs!$D$65+Inputs!$D$66+Inputs!$D$77,Inputs!$C$18*Inputs!$D$76,0)</f>
        <v>0</v>
      </c>
      <c r="BA37">
        <f>IF(BA$44=Inputs!$D$65+Inputs!$D$66+Inputs!$D$77,Inputs!$C$18*Inputs!$D$76,0)</f>
        <v>0</v>
      </c>
      <c r="BB37">
        <f>IF(BB$44=Inputs!$D$65+Inputs!$D$66+Inputs!$D$77,Inputs!$C$18*Inputs!$D$76,0)</f>
        <v>0</v>
      </c>
      <c r="BC37">
        <f>IF(BC$44=Inputs!$D$65+Inputs!$D$66+Inputs!$D$77,Inputs!$C$18*Inputs!$D$76,0)</f>
        <v>0</v>
      </c>
      <c r="BD37">
        <f>IF(BD$44=Inputs!$D$65+Inputs!$D$66+Inputs!$D$77,Inputs!$C$18*Inputs!$D$76,0)</f>
        <v>0</v>
      </c>
      <c r="BE37">
        <f>IF(BE$44=Inputs!$D$65+Inputs!$D$66+Inputs!$D$77,Inputs!$C$18*Inputs!$D$76,0)</f>
        <v>0</v>
      </c>
      <c r="BF37">
        <f>IF(BF$44=Inputs!$D$65+Inputs!$D$66+Inputs!$D$77,Inputs!$C$18*Inputs!$D$76,0)</f>
        <v>0</v>
      </c>
      <c r="BG37">
        <f>IF(BG$44=Inputs!$D$65+Inputs!$D$66+Inputs!$D$77,Inputs!$C$18*Inputs!$D$76,0)</f>
        <v>0</v>
      </c>
      <c r="BH37">
        <f>IF(BH$44=Inputs!$D$65+Inputs!$D$66+Inputs!$D$77,Inputs!$C$18*Inputs!$D$76,0)</f>
        <v>0</v>
      </c>
      <c r="BI37">
        <f>IF(BI$44=Inputs!$D$65+Inputs!$D$66+Inputs!$D$77,Inputs!$C$18*Inputs!$D$76,0)</f>
        <v>0</v>
      </c>
      <c r="BJ37">
        <f>IF(BJ$44=Inputs!$D$65+Inputs!$D$66+Inputs!$D$77,Inputs!$C$18*Inputs!$D$76,0)</f>
        <v>0</v>
      </c>
      <c r="BK37">
        <f>IF(BK$44=Inputs!$D$65+Inputs!$D$66+Inputs!$D$77,Inputs!$C$18*Inputs!$D$76,0)</f>
        <v>0</v>
      </c>
      <c r="BL37">
        <f>IF(BL$44=Inputs!$D$65+Inputs!$D$66+Inputs!$D$77,Inputs!$C$18*Inputs!$D$76,0)</f>
        <v>0</v>
      </c>
      <c r="BM37">
        <f>IF(BM$44=Inputs!$D$65+Inputs!$D$66+Inputs!$D$77,Inputs!$C$18*Inputs!$D$76,0)</f>
        <v>0</v>
      </c>
      <c r="BN37">
        <f>IF(BN$44=Inputs!$D$65+Inputs!$D$66+Inputs!$D$77,Inputs!$C$18*Inputs!$D$76,0)</f>
        <v>0</v>
      </c>
      <c r="BO37">
        <f>IF(BO$44=Inputs!$D$65+Inputs!$D$66+Inputs!$D$77,Inputs!$C$18*Inputs!$D$76,0)</f>
        <v>0</v>
      </c>
    </row>
    <row r="38">
      <c r="B38" t="str">
        <v>Total Operating Cash Flow</v>
      </c>
      <c r="C38">
        <f>SUM(H38:BO38)</f>
        <v>0</v>
      </c>
      <c r="H38">
        <f>H34</f>
        <v>0</v>
      </c>
      <c r="I38">
        <f>I34</f>
        <v>0</v>
      </c>
      <c r="J38">
        <f>J34</f>
        <v>0</v>
      </c>
      <c r="K38">
        <f>K34</f>
        <v>0</v>
      </c>
      <c r="L38">
        <f>L34</f>
        <v>0</v>
      </c>
      <c r="M38">
        <f>M34</f>
        <v>0</v>
      </c>
      <c r="N38">
        <f>N34</f>
        <v>0</v>
      </c>
      <c r="O38">
        <f>O34</f>
        <v>0</v>
      </c>
      <c r="P38">
        <f>P34</f>
        <v>0</v>
      </c>
      <c r="Q38">
        <f>Q34</f>
        <v>0</v>
      </c>
      <c r="R38">
        <f>R34</f>
        <v>0</v>
      </c>
      <c r="S38">
        <f>S34</f>
        <v>0</v>
      </c>
      <c r="T38">
        <f>T34</f>
        <v>0</v>
      </c>
      <c r="U38">
        <f>U34</f>
        <v>0</v>
      </c>
      <c r="V38">
        <f>V34</f>
        <v>0</v>
      </c>
      <c r="W38">
        <f>W34</f>
        <v>0</v>
      </c>
      <c r="X38">
        <f>X34</f>
        <v>0</v>
      </c>
      <c r="Y38">
        <f>Y34</f>
        <v>0</v>
      </c>
      <c r="Z38">
        <f>Z34</f>
        <v>0</v>
      </c>
      <c r="AA38">
        <f>AA34</f>
        <v>0</v>
      </c>
      <c r="AB38">
        <f>AB34</f>
        <v>0</v>
      </c>
      <c r="AC38">
        <f>AC34</f>
        <v>0</v>
      </c>
      <c r="AD38">
        <f>AD34</f>
        <v>0</v>
      </c>
      <c r="AE38">
        <f>AE34</f>
        <v>0</v>
      </c>
      <c r="AF38">
        <f>AF34</f>
        <v>0</v>
      </c>
      <c r="AG38">
        <f>AG34</f>
        <v>0</v>
      </c>
      <c r="AH38">
        <f>AH34</f>
        <v>0</v>
      </c>
      <c r="AI38">
        <f>AI34</f>
        <v>0</v>
      </c>
      <c r="AJ38">
        <f>AJ34</f>
        <v>0</v>
      </c>
      <c r="AK38">
        <f>AK34</f>
        <v>0</v>
      </c>
      <c r="AL38">
        <f>AL34</f>
        <v>0</v>
      </c>
      <c r="AM38">
        <f>AM34</f>
        <v>0</v>
      </c>
      <c r="AN38">
        <f>AN34</f>
        <v>0</v>
      </c>
      <c r="AO38">
        <f>AO34</f>
        <v>0</v>
      </c>
      <c r="AP38">
        <f>AP34</f>
        <v>0</v>
      </c>
      <c r="AQ38">
        <f>AQ34</f>
        <v>0</v>
      </c>
      <c r="AR38">
        <f>AR34</f>
        <v>0</v>
      </c>
      <c r="AS38">
        <f>AS34</f>
        <v>0</v>
      </c>
      <c r="AT38">
        <f>AT34</f>
        <v>0</v>
      </c>
      <c r="AU38">
        <f>AU34</f>
        <v>0</v>
      </c>
      <c r="AV38">
        <f>AV34</f>
        <v>0</v>
      </c>
      <c r="AW38">
        <f>AW34</f>
        <v>0</v>
      </c>
      <c r="AX38">
        <f>AX34</f>
        <v>0</v>
      </c>
      <c r="AY38">
        <f>AY34</f>
        <v>0</v>
      </c>
      <c r="AZ38">
        <f>AZ34</f>
        <v>0</v>
      </c>
      <c r="BA38">
        <f>BA34</f>
        <v>0</v>
      </c>
      <c r="BB38">
        <f>BB34</f>
        <v>0</v>
      </c>
      <c r="BC38">
        <f>BC34</f>
        <v>0</v>
      </c>
      <c r="BD38">
        <f>BD34</f>
        <v>0</v>
      </c>
      <c r="BE38">
        <f>BE34</f>
        <v>0</v>
      </c>
      <c r="BF38">
        <f>BF34</f>
        <v>0</v>
      </c>
      <c r="BG38">
        <f>BG34</f>
        <v>0</v>
      </c>
      <c r="BH38">
        <f>BH34</f>
        <v>0</v>
      </c>
      <c r="BI38">
        <f>BI34</f>
        <v>0</v>
      </c>
      <c r="BJ38">
        <f>BJ34</f>
        <v>0</v>
      </c>
      <c r="BK38">
        <f>BK34</f>
        <v>0</v>
      </c>
      <c r="BL38">
        <f>BL34</f>
        <v>0</v>
      </c>
      <c r="BM38">
        <f>BM34</f>
        <v>0</v>
      </c>
      <c r="BN38">
        <f>BN34</f>
        <v>0</v>
      </c>
      <c r="BO38">
        <f>BO34</f>
        <v>0</v>
      </c>
    </row>
    <row r="39">
      <c r="B39" t="str">
        <v>INVESTING CASH FLOW</v>
      </c>
    </row>
    <row r="40">
      <c r="B40" t="str">
        <v>Acquisition (capex)</v>
      </c>
      <c r="C40">
        <f>SUM(H40:BO40)</f>
        <v>0</v>
      </c>
      <c r="H40">
        <f>-H48</f>
        <v>0</v>
      </c>
      <c r="I40">
        <f>-I48</f>
        <v>0</v>
      </c>
      <c r="J40">
        <f>-J48</f>
        <v>0</v>
      </c>
      <c r="K40">
        <f>-K48</f>
        <v>0</v>
      </c>
      <c r="L40">
        <f>-L48</f>
        <v>0</v>
      </c>
      <c r="M40">
        <f>-M48</f>
        <v>0</v>
      </c>
      <c r="N40">
        <f>-N48</f>
        <v>0</v>
      </c>
      <c r="O40">
        <f>-O48</f>
        <v>0</v>
      </c>
      <c r="P40">
        <f>-P48</f>
        <v>0</v>
      </c>
      <c r="Q40">
        <f>-Q48</f>
        <v>0</v>
      </c>
      <c r="R40">
        <f>-R48</f>
        <v>0</v>
      </c>
      <c r="S40">
        <f>-S48</f>
        <v>0</v>
      </c>
      <c r="T40">
        <f>-T48</f>
        <v>0</v>
      </c>
      <c r="U40">
        <f>-U48</f>
        <v>0</v>
      </c>
      <c r="V40">
        <f>-V48</f>
        <v>0</v>
      </c>
      <c r="W40">
        <f>-W48</f>
        <v>0</v>
      </c>
      <c r="X40">
        <f>-X48</f>
        <v>0</v>
      </c>
      <c r="Y40">
        <f>-Y48</f>
        <v>0</v>
      </c>
      <c r="Z40">
        <f>-Z48</f>
        <v>0</v>
      </c>
      <c r="AA40">
        <f>-AA48</f>
        <v>0</v>
      </c>
      <c r="AB40">
        <f>-AB48</f>
        <v>0</v>
      </c>
      <c r="AC40">
        <f>-AC48</f>
        <v>0</v>
      </c>
      <c r="AD40">
        <f>-AD48</f>
        <v>0</v>
      </c>
      <c r="AE40">
        <f>-AE48</f>
        <v>0</v>
      </c>
      <c r="AF40">
        <f>-AF48</f>
        <v>0</v>
      </c>
      <c r="AG40">
        <f>-AG48</f>
        <v>0</v>
      </c>
      <c r="AH40">
        <f>-AH48</f>
        <v>0</v>
      </c>
      <c r="AI40">
        <f>-AI48</f>
        <v>0</v>
      </c>
      <c r="AJ40">
        <f>-AJ48</f>
        <v>0</v>
      </c>
      <c r="AK40">
        <f>-AK48</f>
        <v>0</v>
      </c>
      <c r="AL40">
        <f>-AL48</f>
        <v>0</v>
      </c>
      <c r="AM40">
        <f>-AM48</f>
        <v>0</v>
      </c>
      <c r="AN40">
        <f>-AN48</f>
        <v>0</v>
      </c>
      <c r="AO40">
        <f>-AO48</f>
        <v>0</v>
      </c>
      <c r="AP40">
        <f>-AP48</f>
        <v>0</v>
      </c>
      <c r="AQ40">
        <f>-AQ48</f>
        <v>0</v>
      </c>
      <c r="AR40">
        <f>-AR48</f>
        <v>0</v>
      </c>
      <c r="AS40">
        <f>-AS48</f>
        <v>0</v>
      </c>
      <c r="AT40">
        <f>-AT48</f>
        <v>0</v>
      </c>
      <c r="AU40">
        <f>-AU48</f>
        <v>0</v>
      </c>
      <c r="AV40">
        <f>-AV48</f>
        <v>0</v>
      </c>
      <c r="AW40">
        <f>-AW48</f>
        <v>0</v>
      </c>
      <c r="AX40">
        <f>-AX48</f>
        <v>0</v>
      </c>
      <c r="AY40">
        <f>-AY48</f>
        <v>0</v>
      </c>
      <c r="AZ40">
        <f>-AZ48</f>
        <v>0</v>
      </c>
      <c r="BA40">
        <f>-BA48</f>
        <v>0</v>
      </c>
      <c r="BB40">
        <f>-BB48</f>
        <v>0</v>
      </c>
      <c r="BC40">
        <f>-BC48</f>
        <v>0</v>
      </c>
      <c r="BD40">
        <f>-BD48</f>
        <v>0</v>
      </c>
      <c r="BE40">
        <f>-BE48</f>
        <v>0</v>
      </c>
      <c r="BF40">
        <f>-BF48</f>
        <v>0</v>
      </c>
      <c r="BG40">
        <f>-BG48</f>
        <v>0</v>
      </c>
      <c r="BH40">
        <f>-BH48</f>
        <v>0</v>
      </c>
      <c r="BI40">
        <f>-BI48</f>
        <v>0</v>
      </c>
      <c r="BJ40">
        <f>-BJ48</f>
        <v>0</v>
      </c>
      <c r="BK40">
        <f>-BK48</f>
        <v>0</v>
      </c>
      <c r="BL40">
        <f>-BL48</f>
        <v>0</v>
      </c>
      <c r="BM40">
        <f>-BM48</f>
        <v>0</v>
      </c>
      <c r="BN40">
        <f>-BN48</f>
        <v>0</v>
      </c>
      <c r="BO40">
        <f>-BO48</f>
        <v>0</v>
      </c>
    </row>
    <row r="41">
      <c r="B41" t="str">
        <v>Construction (capex)</v>
      </c>
      <c r="C41">
        <f>SUM(H41:BO41)</f>
        <v>0</v>
      </c>
      <c r="H41">
        <f>-(H49+H50)</f>
        <v>0</v>
      </c>
      <c r="I41">
        <f>-(I49+I50)</f>
        <v>0</v>
      </c>
      <c r="J41">
        <f>-(J49+J50)</f>
        <v>0</v>
      </c>
      <c r="K41">
        <f>-(K49+K50)</f>
        <v>0</v>
      </c>
      <c r="L41">
        <f>-(L49+L50)</f>
        <v>0</v>
      </c>
      <c r="M41">
        <f>-(M49+M50)</f>
        <v>0</v>
      </c>
      <c r="N41">
        <f>-(N49+N50)</f>
        <v>0</v>
      </c>
      <c r="O41">
        <f>-(O49+O50)</f>
        <v>0</v>
      </c>
      <c r="P41">
        <f>-(P49+P50)</f>
        <v>0</v>
      </c>
      <c r="Q41">
        <f>-(Q49+Q50)</f>
        <v>0</v>
      </c>
      <c r="R41">
        <f>-(R49+R50)</f>
        <v>0</v>
      </c>
      <c r="S41">
        <f>-(S49+S50)</f>
        <v>0</v>
      </c>
      <c r="T41">
        <f>-(T49+T50)</f>
        <v>0</v>
      </c>
      <c r="U41">
        <f>-(U49+U50)</f>
        <v>0</v>
      </c>
      <c r="V41">
        <f>-(V49+V50)</f>
        <v>0</v>
      </c>
      <c r="W41">
        <f>-(W49+W50)</f>
        <v>0</v>
      </c>
      <c r="X41">
        <f>-(X49+X50)</f>
        <v>0</v>
      </c>
      <c r="Y41">
        <f>-(Y49+Y50)</f>
        <v>0</v>
      </c>
      <c r="Z41">
        <f>-(Z49+Z50)</f>
        <v>0</v>
      </c>
      <c r="AA41">
        <f>-(AA49+AA50)</f>
        <v>0</v>
      </c>
      <c r="AB41">
        <f>-(AB49+AB50)</f>
        <v>0</v>
      </c>
      <c r="AC41">
        <f>-(AC49+AC50)</f>
        <v>0</v>
      </c>
      <c r="AD41">
        <f>-(AD49+AD50)</f>
        <v>0</v>
      </c>
      <c r="AE41">
        <f>-(AE49+AE50)</f>
        <v>0</v>
      </c>
      <c r="AF41">
        <f>-(AF49+AF50)</f>
        <v>0</v>
      </c>
      <c r="AG41">
        <f>-(AG49+AG50)</f>
        <v>0</v>
      </c>
      <c r="AH41">
        <f>-(AH49+AH50)</f>
        <v>0</v>
      </c>
      <c r="AI41">
        <f>-(AI49+AI50)</f>
        <v>0</v>
      </c>
      <c r="AJ41">
        <f>-(AJ49+AJ50)</f>
        <v>0</v>
      </c>
      <c r="AK41">
        <f>-(AK49+AK50)</f>
        <v>0</v>
      </c>
      <c r="AL41">
        <f>-(AL49+AL50)</f>
        <v>0</v>
      </c>
      <c r="AM41">
        <f>-(AM49+AM50)</f>
        <v>0</v>
      </c>
      <c r="AN41">
        <f>-(AN49+AN50)</f>
        <v>0</v>
      </c>
      <c r="AO41">
        <f>-(AO49+AO50)</f>
        <v>0</v>
      </c>
      <c r="AP41">
        <f>-(AP49+AP50)</f>
        <v>0</v>
      </c>
      <c r="AQ41">
        <f>-(AQ49+AQ50)</f>
        <v>0</v>
      </c>
      <c r="AR41">
        <f>-(AR49+AR50)</f>
        <v>0</v>
      </c>
      <c r="AS41">
        <f>-(AS49+AS50)</f>
        <v>0</v>
      </c>
      <c r="AT41">
        <f>-(AT49+AT50)</f>
        <v>0</v>
      </c>
      <c r="AU41">
        <f>-(AU49+AU50)</f>
        <v>0</v>
      </c>
      <c r="AV41">
        <f>-(AV49+AV50)</f>
        <v>0</v>
      </c>
      <c r="AW41">
        <f>-(AW49+AW50)</f>
        <v>0</v>
      </c>
      <c r="AX41">
        <f>-(AX49+AX50)</f>
        <v>0</v>
      </c>
      <c r="AY41">
        <f>-(AY49+AY50)</f>
        <v>0</v>
      </c>
      <c r="AZ41">
        <f>-(AZ49+AZ50)</f>
        <v>0</v>
      </c>
      <c r="BA41">
        <f>-(BA49+BA50)</f>
        <v>0</v>
      </c>
      <c r="BB41">
        <f>-(BB49+BB50)</f>
        <v>0</v>
      </c>
      <c r="BC41">
        <f>-(BC49+BC50)</f>
        <v>0</v>
      </c>
      <c r="BD41">
        <f>-(BD49+BD50)</f>
        <v>0</v>
      </c>
      <c r="BE41">
        <f>-(BE49+BE50)</f>
        <v>0</v>
      </c>
      <c r="BF41">
        <f>-(BF49+BF50)</f>
        <v>0</v>
      </c>
      <c r="BG41">
        <f>-(BG49+BG50)</f>
        <v>0</v>
      </c>
      <c r="BH41">
        <f>-(BH49+BH50)</f>
        <v>0</v>
      </c>
      <c r="BI41">
        <f>-(BI49+BI50)</f>
        <v>0</v>
      </c>
      <c r="BJ41">
        <f>-(BJ49+BJ50)</f>
        <v>0</v>
      </c>
      <c r="BK41">
        <f>-(BK49+BK50)</f>
        <v>0</v>
      </c>
      <c r="BL41">
        <f>-(BL49+BL50)</f>
        <v>0</v>
      </c>
      <c r="BM41">
        <f>-(BM49+BM50)</f>
        <v>0</v>
      </c>
      <c r="BN41">
        <f>-(BN49+BN50)</f>
        <v>0</v>
      </c>
      <c r="BO41">
        <f>-(BO49+BO50)</f>
        <v>0</v>
      </c>
    </row>
    <row r="42">
      <c r="B42" t="str">
        <v>Total Investing Cash Flow</v>
      </c>
      <c r="C42">
        <f>SUM(H42:BO42)</f>
        <v>0</v>
      </c>
      <c r="H42">
        <f>SUM(H40:H41)</f>
        <v>0</v>
      </c>
      <c r="I42">
        <f>SUM(I40:I41)</f>
        <v>0</v>
      </c>
      <c r="J42">
        <f>SUM(J40:J41)</f>
        <v>0</v>
      </c>
      <c r="K42">
        <f>SUM(K40:K41)</f>
        <v>0</v>
      </c>
      <c r="L42">
        <f>SUM(L40:L41)</f>
        <v>0</v>
      </c>
      <c r="M42">
        <f>SUM(M40:M41)</f>
        <v>0</v>
      </c>
      <c r="N42">
        <f>SUM(N40:N41)</f>
        <v>0</v>
      </c>
      <c r="O42">
        <f>SUM(O40:O41)</f>
        <v>0</v>
      </c>
      <c r="P42">
        <f>SUM(P40:P41)</f>
        <v>0</v>
      </c>
      <c r="Q42">
        <f>SUM(Q40:Q41)</f>
        <v>0</v>
      </c>
      <c r="R42">
        <f>SUM(R40:R41)</f>
        <v>0</v>
      </c>
      <c r="S42">
        <f>SUM(S40:S41)</f>
        <v>0</v>
      </c>
      <c r="T42">
        <f>SUM(T40:T41)</f>
        <v>0</v>
      </c>
      <c r="U42">
        <f>SUM(U40:U41)</f>
        <v>0</v>
      </c>
      <c r="V42">
        <f>SUM(V40:V41)</f>
        <v>0</v>
      </c>
      <c r="W42">
        <f>SUM(W40:W41)</f>
        <v>0</v>
      </c>
      <c r="X42">
        <f>SUM(X40:X41)</f>
        <v>0</v>
      </c>
      <c r="Y42">
        <f>SUM(Y40:Y41)</f>
        <v>0</v>
      </c>
      <c r="Z42">
        <f>SUM(Z40:Z41)</f>
        <v>0</v>
      </c>
      <c r="AA42">
        <f>SUM(AA40:AA41)</f>
        <v>0</v>
      </c>
      <c r="AB42">
        <f>SUM(AB40:AB41)</f>
        <v>0</v>
      </c>
      <c r="AC42">
        <f>SUM(AC40:AC41)</f>
        <v>0</v>
      </c>
      <c r="AD42">
        <f>SUM(AD40:AD41)</f>
        <v>0</v>
      </c>
      <c r="AE42">
        <f>SUM(AE40:AE41)</f>
        <v>0</v>
      </c>
      <c r="AF42">
        <f>SUM(AF40:AF41)</f>
        <v>0</v>
      </c>
      <c r="AG42">
        <f>SUM(AG40:AG41)</f>
        <v>0</v>
      </c>
      <c r="AH42">
        <f>SUM(AH40:AH41)</f>
        <v>0</v>
      </c>
      <c r="AI42">
        <f>SUM(AI40:AI41)</f>
        <v>0</v>
      </c>
      <c r="AJ42">
        <f>SUM(AJ40:AJ41)</f>
        <v>0</v>
      </c>
      <c r="AK42">
        <f>SUM(AK40:AK41)</f>
        <v>0</v>
      </c>
      <c r="AL42">
        <f>SUM(AL40:AL41)</f>
        <v>0</v>
      </c>
      <c r="AM42">
        <f>SUM(AM40:AM41)</f>
        <v>0</v>
      </c>
      <c r="AN42">
        <f>SUM(AN40:AN41)</f>
        <v>0</v>
      </c>
      <c r="AO42">
        <f>SUM(AO40:AO41)</f>
        <v>0</v>
      </c>
      <c r="AP42">
        <f>SUM(AP40:AP41)</f>
        <v>0</v>
      </c>
      <c r="AQ42">
        <f>SUM(AQ40:AQ41)</f>
        <v>0</v>
      </c>
      <c r="AR42">
        <f>SUM(AR40:AR41)</f>
        <v>0</v>
      </c>
      <c r="AS42">
        <f>SUM(AS40:AS41)</f>
        <v>0</v>
      </c>
      <c r="AT42">
        <f>SUM(AT40:AT41)</f>
        <v>0</v>
      </c>
      <c r="AU42">
        <f>SUM(AU40:AU41)</f>
        <v>0</v>
      </c>
      <c r="AV42">
        <f>SUM(AV40:AV41)</f>
        <v>0</v>
      </c>
      <c r="AW42">
        <f>SUM(AW40:AW41)</f>
        <v>0</v>
      </c>
      <c r="AX42">
        <f>SUM(AX40:AX41)</f>
        <v>0</v>
      </c>
      <c r="AY42">
        <f>SUM(AY40:AY41)</f>
        <v>0</v>
      </c>
      <c r="AZ42">
        <f>SUM(AZ40:AZ41)</f>
        <v>0</v>
      </c>
      <c r="BA42">
        <f>SUM(BA40:BA41)</f>
        <v>0</v>
      </c>
      <c r="BB42">
        <f>SUM(BB40:BB41)</f>
        <v>0</v>
      </c>
      <c r="BC42">
        <f>SUM(BC40:BC41)</f>
        <v>0</v>
      </c>
      <c r="BD42">
        <f>SUM(BD40:BD41)</f>
        <v>0</v>
      </c>
      <c r="BE42">
        <f>SUM(BE40:BE41)</f>
        <v>0</v>
      </c>
      <c r="BF42">
        <f>SUM(BF40:BF41)</f>
        <v>0</v>
      </c>
      <c r="BG42">
        <f>SUM(BG40:BG41)</f>
        <v>0</v>
      </c>
      <c r="BH42">
        <f>SUM(BH40:BH41)</f>
        <v>0</v>
      </c>
      <c r="BI42">
        <f>SUM(BI40:BI41)</f>
        <v>0</v>
      </c>
      <c r="BJ42">
        <f>SUM(BJ40:BJ41)</f>
        <v>0</v>
      </c>
      <c r="BK42">
        <f>SUM(BK40:BK41)</f>
        <v>0</v>
      </c>
      <c r="BL42">
        <f>SUM(BL40:BL41)</f>
        <v>0</v>
      </c>
      <c r="BM42">
        <f>SUM(BM40:BM41)</f>
        <v>0</v>
      </c>
      <c r="BN42">
        <f>SUM(BN40:BN41)</f>
        <v>0</v>
      </c>
      <c r="BO42">
        <f>SUM(BO40:BO41)</f>
        <v>0</v>
      </c>
    </row>
    <row r="44">
      <c r="B44" t="str">
        <v>Line</v>
      </c>
      <c r="C44" t="str">
        <v>Total</v>
      </c>
      <c r="H44">
        <v>1</v>
      </c>
      <c r="I44">
        <v>2</v>
      </c>
      <c r="J44">
        <v>3</v>
      </c>
      <c r="K44">
        <v>4</v>
      </c>
      <c r="L44">
        <v>5</v>
      </c>
      <c r="M44">
        <v>6</v>
      </c>
      <c r="N44">
        <v>7</v>
      </c>
      <c r="O44">
        <v>8</v>
      </c>
      <c r="P44">
        <v>9</v>
      </c>
      <c r="Q44">
        <v>10</v>
      </c>
      <c r="R44">
        <v>11</v>
      </c>
      <c r="S44">
        <v>12</v>
      </c>
      <c r="T44">
        <v>13</v>
      </c>
      <c r="U44">
        <v>14</v>
      </c>
      <c r="V44">
        <v>15</v>
      </c>
      <c r="W44">
        <v>16</v>
      </c>
      <c r="X44">
        <v>17</v>
      </c>
      <c r="Y44">
        <v>18</v>
      </c>
      <c r="Z44">
        <v>19</v>
      </c>
      <c r="AA44">
        <v>20</v>
      </c>
      <c r="AB44">
        <v>21</v>
      </c>
      <c r="AC44">
        <v>22</v>
      </c>
      <c r="AD44">
        <v>23</v>
      </c>
      <c r="AE44">
        <v>24</v>
      </c>
      <c r="AF44">
        <v>25</v>
      </c>
      <c r="AG44">
        <v>26</v>
      </c>
      <c r="AH44">
        <v>27</v>
      </c>
      <c r="AI44">
        <v>28</v>
      </c>
      <c r="AJ44">
        <v>29</v>
      </c>
      <c r="AK44">
        <v>30</v>
      </c>
      <c r="AL44">
        <v>31</v>
      </c>
      <c r="AM44">
        <v>32</v>
      </c>
      <c r="AN44">
        <v>33</v>
      </c>
      <c r="AO44">
        <v>34</v>
      </c>
      <c r="AP44">
        <v>35</v>
      </c>
      <c r="AQ44">
        <v>36</v>
      </c>
      <c r="AR44">
        <v>37</v>
      </c>
      <c r="AS44">
        <v>38</v>
      </c>
      <c r="AT44">
        <v>39</v>
      </c>
      <c r="AU44">
        <v>40</v>
      </c>
      <c r="AV44">
        <v>41</v>
      </c>
      <c r="AW44">
        <v>42</v>
      </c>
      <c r="AX44">
        <v>43</v>
      </c>
      <c r="AY44">
        <v>44</v>
      </c>
      <c r="AZ44">
        <v>45</v>
      </c>
      <c r="BA44">
        <v>46</v>
      </c>
      <c r="BB44">
        <v>47</v>
      </c>
      <c r="BC44">
        <v>48</v>
      </c>
      <c r="BD44">
        <v>49</v>
      </c>
      <c r="BE44">
        <v>50</v>
      </c>
      <c r="BF44">
        <v>51</v>
      </c>
      <c r="BG44">
        <v>52</v>
      </c>
      <c r="BH44">
        <v>53</v>
      </c>
      <c r="BI44">
        <v>54</v>
      </c>
      <c r="BJ44">
        <v>55</v>
      </c>
      <c r="BK44">
        <v>56</v>
      </c>
      <c r="BL44">
        <v>57</v>
      </c>
      <c r="BM44">
        <v>58</v>
      </c>
      <c r="BN44">
        <v>59</v>
      </c>
      <c r="BO44">
        <v>60</v>
      </c>
    </row>
    <row r="45">
      <c r="H45">
        <f>+EOMONTH(TODAY(),0)</f>
        <v>46142</v>
      </c>
      <c r="I45">
        <f>+EOMONTH(H45,1)</f>
        <v>46173</v>
      </c>
      <c r="J45">
        <f>+EOMONTH(I45,1)</f>
        <v>46203</v>
      </c>
      <c r="K45">
        <f>+EOMONTH(J45,1)</f>
        <v>46234</v>
      </c>
      <c r="L45">
        <f>+EOMONTH(K45,1)</f>
        <v>46265</v>
      </c>
      <c r="M45">
        <f>+EOMONTH(L45,1)</f>
        <v>46295</v>
      </c>
      <c r="N45">
        <f>+EOMONTH(M45,1)</f>
        <v>46326</v>
      </c>
      <c r="O45">
        <f>+EOMONTH(N45,1)</f>
        <v>46356</v>
      </c>
      <c r="P45">
        <f>+EOMONTH(O45,1)</f>
        <v>46387</v>
      </c>
      <c r="Q45">
        <f>+EOMONTH(P45,1)</f>
        <v>46418</v>
      </c>
      <c r="R45">
        <f>+EOMONTH(Q45,1)</f>
        <v>46446</v>
      </c>
      <c r="S45">
        <f>+EOMONTH(R45,1)</f>
        <v>46477</v>
      </c>
      <c r="T45">
        <f>+EOMONTH(S45,1)</f>
        <v>46507</v>
      </c>
      <c r="U45">
        <f>+EOMONTH(T45,1)</f>
        <v>46538</v>
      </c>
      <c r="V45">
        <f>+EOMONTH(U45,1)</f>
        <v>46568</v>
      </c>
      <c r="W45">
        <f>+EOMONTH(V45,1)</f>
        <v>46599</v>
      </c>
      <c r="X45">
        <f>+EOMONTH(W45,1)</f>
        <v>46630</v>
      </c>
      <c r="Y45">
        <f>+EOMONTH(X45,1)</f>
        <v>46660</v>
      </c>
      <c r="Z45">
        <f>+EOMONTH(Y45,1)</f>
        <v>46691</v>
      </c>
      <c r="AA45">
        <f>+EOMONTH(Z45,1)</f>
        <v>46721</v>
      </c>
      <c r="AB45">
        <f>+EOMONTH(AA45,1)</f>
        <v>46752</v>
      </c>
      <c r="AC45">
        <f>+EOMONTH(AB45,1)</f>
        <v>46783</v>
      </c>
      <c r="AD45">
        <f>+EOMONTH(AC45,1)</f>
        <v>46812</v>
      </c>
      <c r="AE45">
        <f>+EOMONTH(AD45,1)</f>
        <v>46843</v>
      </c>
      <c r="AF45">
        <f>+EOMONTH(AE45,1)</f>
        <v>46873</v>
      </c>
      <c r="AG45">
        <f>+EOMONTH(AF45,1)</f>
        <v>46904</v>
      </c>
      <c r="AH45">
        <f>+EOMONTH(AG45,1)</f>
        <v>46934</v>
      </c>
      <c r="AI45">
        <f>+EOMONTH(AH45,1)</f>
        <v>46965</v>
      </c>
      <c r="AJ45">
        <f>+EOMONTH(AI45,1)</f>
        <v>46996</v>
      </c>
      <c r="AK45">
        <f>+EOMONTH(AJ45,1)</f>
        <v>47026</v>
      </c>
      <c r="AL45">
        <f>+EOMONTH(AK45,1)</f>
        <v>47057</v>
      </c>
      <c r="AM45">
        <f>+EOMONTH(AL45,1)</f>
        <v>47087</v>
      </c>
      <c r="AN45">
        <f>+EOMONTH(AM45,1)</f>
        <v>47118</v>
      </c>
      <c r="AO45">
        <f>+EOMONTH(AN45,1)</f>
        <v>47149</v>
      </c>
      <c r="AP45">
        <f>+EOMONTH(AO45,1)</f>
        <v>47177</v>
      </c>
      <c r="AQ45">
        <f>+EOMONTH(AP45,1)</f>
        <v>47208</v>
      </c>
      <c r="AR45">
        <f>+EOMONTH(AQ45,1)</f>
        <v>47238</v>
      </c>
      <c r="AS45">
        <f>+EOMONTH(AR45,1)</f>
        <v>47269</v>
      </c>
      <c r="AT45">
        <f>+EOMONTH(AS45,1)</f>
        <v>47299</v>
      </c>
      <c r="AU45">
        <f>+EOMONTH(AT45,1)</f>
        <v>47330</v>
      </c>
      <c r="AV45">
        <f>+EOMONTH(AU45,1)</f>
        <v>47361</v>
      </c>
      <c r="AW45">
        <f>+EOMONTH(AV45,1)</f>
        <v>47391</v>
      </c>
      <c r="AX45">
        <f>+EOMONTH(AW45,1)</f>
        <v>47422</v>
      </c>
      <c r="AY45">
        <f>+EOMONTH(AX45,1)</f>
        <v>47452</v>
      </c>
      <c r="AZ45">
        <f>+EOMONTH(AY45,1)</f>
        <v>47483</v>
      </c>
      <c r="BA45">
        <f>+EOMONTH(AZ45,1)</f>
        <v>47514</v>
      </c>
      <c r="BB45">
        <f>+EOMONTH(BA45,1)</f>
        <v>47542</v>
      </c>
      <c r="BC45">
        <f>+EOMONTH(BB45,1)</f>
        <v>47573</v>
      </c>
      <c r="BD45">
        <f>+EOMONTH(BC45,1)</f>
        <v>47603</v>
      </c>
      <c r="BE45">
        <f>+EOMONTH(BD45,1)</f>
        <v>47634</v>
      </c>
      <c r="BF45">
        <f>+EOMONTH(BE45,1)</f>
        <v>47664</v>
      </c>
      <c r="BG45">
        <f>+EOMONTH(BF45,1)</f>
        <v>47695</v>
      </c>
      <c r="BH45">
        <f>+EOMONTH(BG45,1)</f>
        <v>47726</v>
      </c>
      <c r="BI45">
        <f>+EOMONTH(BH45,1)</f>
        <v>47756</v>
      </c>
      <c r="BJ45">
        <f>+EOMONTH(BI45,1)</f>
        <v>47787</v>
      </c>
      <c r="BK45">
        <f>+EOMONTH(BJ45,1)</f>
        <v>47817</v>
      </c>
      <c r="BL45">
        <f>+EOMONTH(BK45,1)</f>
        <v>47848</v>
      </c>
      <c r="BM45">
        <f>+EOMONTH(BL45,1)</f>
        <v>47879</v>
      </c>
      <c r="BN45">
        <f>+EOMONTH(BM45,1)</f>
        <v>47907</v>
      </c>
      <c r="BO45">
        <f>+EOMONTH(BN45,1)</f>
        <v>47938</v>
      </c>
    </row>
    <row r="46">
      <c r="B46" t="str">
        <v>PROJECT COSTS</v>
      </c>
    </row>
    <row r="48">
      <c r="B48" t="str">
        <v>Acquisition + Related (cost)</v>
      </c>
      <c r="C48">
        <f>SUM(H48:BO48)</f>
        <v>0</v>
      </c>
      <c r="H48">
        <f>IF(1=1,Inputs!$D$23*(1+Inputs!$D$24),0)</f>
        <v>0</v>
      </c>
      <c r="I48">
        <f>IF(2=1,Inputs!$D$23*(1+Inputs!$D$24),0)</f>
        <v>0</v>
      </c>
      <c r="J48">
        <f>IF(3=1,Inputs!$D$23*(1+Inputs!$D$24),0)</f>
        <v>0</v>
      </c>
      <c r="K48">
        <f>IF(4=1,Inputs!$D$23*(1+Inputs!$D$24),0)</f>
        <v>0</v>
      </c>
      <c r="L48">
        <f>IF(5=1,Inputs!$D$23*(1+Inputs!$D$24),0)</f>
        <v>0</v>
      </c>
      <c r="M48">
        <f>IF(6=1,Inputs!$D$23*(1+Inputs!$D$24),0)</f>
        <v>0</v>
      </c>
      <c r="N48">
        <f>IF(7=1,Inputs!$D$23*(1+Inputs!$D$24),0)</f>
        <v>0</v>
      </c>
      <c r="O48">
        <f>IF(8=1,Inputs!$D$23*(1+Inputs!$D$24),0)</f>
        <v>0</v>
      </c>
      <c r="P48">
        <f>IF(9=1,Inputs!$D$23*(1+Inputs!$D$24),0)</f>
        <v>0</v>
      </c>
      <c r="Q48">
        <f>IF(10=1,Inputs!$D$23*(1+Inputs!$D$24),0)</f>
        <v>0</v>
      </c>
      <c r="R48">
        <f>IF(11=1,Inputs!$D$23*(1+Inputs!$D$24),0)</f>
        <v>0</v>
      </c>
      <c r="S48">
        <f>IF(12=1,Inputs!$D$23*(1+Inputs!$D$24),0)</f>
        <v>0</v>
      </c>
      <c r="T48">
        <f>IF(13=1,Inputs!$D$23*(1+Inputs!$D$24),0)</f>
        <v>0</v>
      </c>
      <c r="U48">
        <f>IF(14=1,Inputs!$D$23*(1+Inputs!$D$24),0)</f>
        <v>0</v>
      </c>
      <c r="V48">
        <f>IF(15=1,Inputs!$D$23*(1+Inputs!$D$24),0)</f>
        <v>0</v>
      </c>
      <c r="W48">
        <f>IF(16=1,Inputs!$D$23*(1+Inputs!$D$24),0)</f>
        <v>0</v>
      </c>
      <c r="X48">
        <f>IF(17=1,Inputs!$D$23*(1+Inputs!$D$24),0)</f>
        <v>0</v>
      </c>
      <c r="Y48">
        <f>IF(18=1,Inputs!$D$23*(1+Inputs!$D$24),0)</f>
        <v>0</v>
      </c>
      <c r="Z48">
        <f>IF(19=1,Inputs!$D$23*(1+Inputs!$D$24),0)</f>
        <v>0</v>
      </c>
      <c r="AA48">
        <f>IF(20=1,Inputs!$D$23*(1+Inputs!$D$24),0)</f>
        <v>0</v>
      </c>
      <c r="AB48">
        <f>IF(21=1,Inputs!$D$23*(1+Inputs!$D$24),0)</f>
        <v>0</v>
      </c>
      <c r="AC48">
        <f>IF(22=1,Inputs!$D$23*(1+Inputs!$D$24),0)</f>
        <v>0</v>
      </c>
      <c r="AD48">
        <f>IF(23=1,Inputs!$D$23*(1+Inputs!$D$24),0)</f>
        <v>0</v>
      </c>
      <c r="AE48">
        <f>IF(24=1,Inputs!$D$23*(1+Inputs!$D$24),0)</f>
        <v>0</v>
      </c>
      <c r="AF48">
        <f>IF(25=1,Inputs!$D$23*(1+Inputs!$D$24),0)</f>
        <v>0</v>
      </c>
      <c r="AG48">
        <f>IF(26=1,Inputs!$D$23*(1+Inputs!$D$24),0)</f>
        <v>0</v>
      </c>
      <c r="AH48">
        <f>IF(27=1,Inputs!$D$23*(1+Inputs!$D$24),0)</f>
        <v>0</v>
      </c>
      <c r="AI48">
        <f>IF(28=1,Inputs!$D$23*(1+Inputs!$D$24),0)</f>
        <v>0</v>
      </c>
      <c r="AJ48">
        <f>IF(29=1,Inputs!$D$23*(1+Inputs!$D$24),0)</f>
        <v>0</v>
      </c>
      <c r="AK48">
        <f>IF(30=1,Inputs!$D$23*(1+Inputs!$D$24),0)</f>
        <v>0</v>
      </c>
      <c r="AL48">
        <f>IF(31=1,Inputs!$D$23*(1+Inputs!$D$24),0)</f>
        <v>0</v>
      </c>
      <c r="AM48">
        <f>IF(32=1,Inputs!$D$23*(1+Inputs!$D$24),0)</f>
        <v>0</v>
      </c>
      <c r="AN48">
        <f>IF(33=1,Inputs!$D$23*(1+Inputs!$D$24),0)</f>
        <v>0</v>
      </c>
      <c r="AO48">
        <f>IF(34=1,Inputs!$D$23*(1+Inputs!$D$24),0)</f>
        <v>0</v>
      </c>
      <c r="AP48">
        <f>IF(35=1,Inputs!$D$23*(1+Inputs!$D$24),0)</f>
        <v>0</v>
      </c>
      <c r="AQ48">
        <f>IF(36=1,Inputs!$D$23*(1+Inputs!$D$24),0)</f>
        <v>0</v>
      </c>
      <c r="AR48">
        <f>IF(37=1,Inputs!$D$23*(1+Inputs!$D$24),0)</f>
        <v>0</v>
      </c>
      <c r="AS48">
        <f>IF(38=1,Inputs!$D$23*(1+Inputs!$D$24),0)</f>
        <v>0</v>
      </c>
      <c r="AT48">
        <f>IF(39=1,Inputs!$D$23*(1+Inputs!$D$24),0)</f>
        <v>0</v>
      </c>
      <c r="AU48">
        <f>IF(40=1,Inputs!$D$23*(1+Inputs!$D$24),0)</f>
        <v>0</v>
      </c>
      <c r="AV48">
        <f>IF(41=1,Inputs!$D$23*(1+Inputs!$D$24),0)</f>
        <v>0</v>
      </c>
      <c r="AW48">
        <f>IF(42=1,Inputs!$D$23*(1+Inputs!$D$24),0)</f>
        <v>0</v>
      </c>
      <c r="AX48">
        <f>IF(43=1,Inputs!$D$23*(1+Inputs!$D$24),0)</f>
        <v>0</v>
      </c>
      <c r="AY48">
        <f>IF(44=1,Inputs!$D$23*(1+Inputs!$D$24),0)</f>
        <v>0</v>
      </c>
      <c r="AZ48">
        <f>IF(45=1,Inputs!$D$23*(1+Inputs!$D$24),0)</f>
        <v>0</v>
      </c>
      <c r="BA48">
        <f>IF(46=1,Inputs!$D$23*(1+Inputs!$D$24),0)</f>
        <v>0</v>
      </c>
      <c r="BB48">
        <f>IF(47=1,Inputs!$D$23*(1+Inputs!$D$24),0)</f>
        <v>0</v>
      </c>
      <c r="BC48">
        <f>IF(48=1,Inputs!$D$23*(1+Inputs!$D$24),0)</f>
        <v>0</v>
      </c>
      <c r="BD48">
        <f>IF(49=1,Inputs!$D$23*(1+Inputs!$D$24),0)</f>
        <v>0</v>
      </c>
      <c r="BE48">
        <f>IF(50=1,Inputs!$D$23*(1+Inputs!$D$24),0)</f>
        <v>0</v>
      </c>
      <c r="BF48">
        <f>IF(51=1,Inputs!$D$23*(1+Inputs!$D$24),0)</f>
        <v>0</v>
      </c>
      <c r="BG48">
        <f>IF(52=1,Inputs!$D$23*(1+Inputs!$D$24),0)</f>
        <v>0</v>
      </c>
      <c r="BH48">
        <f>IF(53=1,Inputs!$D$23*(1+Inputs!$D$24),0)</f>
        <v>0</v>
      </c>
      <c r="BI48">
        <f>IF(54=1,Inputs!$D$23*(1+Inputs!$D$24),0)</f>
        <v>0</v>
      </c>
      <c r="BJ48">
        <f>IF(55=1,Inputs!$D$23*(1+Inputs!$D$24),0)</f>
        <v>0</v>
      </c>
      <c r="BK48">
        <f>IF(56=1,Inputs!$D$23*(1+Inputs!$D$24),0)</f>
        <v>0</v>
      </c>
      <c r="BL48">
        <f>IF(57=1,Inputs!$D$23*(1+Inputs!$D$24),0)</f>
        <v>0</v>
      </c>
      <c r="BM48">
        <f>IF(58=1,Inputs!$D$23*(1+Inputs!$D$24),0)</f>
        <v>0</v>
      </c>
      <c r="BN48">
        <f>IF(59=1,Inputs!$D$23*(1+Inputs!$D$24),0)</f>
        <v>0</v>
      </c>
      <c r="BO48">
        <f>IF(60=1,Inputs!$D$23*(1+Inputs!$D$24),0)</f>
        <v>0</v>
      </c>
    </row>
    <row r="49">
      <c r="B49" t="str">
        <v>Construction (cost)</v>
      </c>
      <c r="C49">
        <f>SUM(H49:BO49)</f>
        <v>0</v>
      </c>
      <c r="H49">
        <f>IF(AND(1&gt;Inputs!$D$65,1&lt;=Inputs!$D$65+Inputs!$D$66,Inputs!$D$66&gt;0),(Inputs!$D$28*Inputs!$C$15+Inputs!$D$29*Inputs!$C$15)*(1+Inputs!$D$30)/Inputs!$D$66,0)</f>
        <v>0</v>
      </c>
      <c r="I49">
        <f>IF(AND(2&gt;Inputs!$D$65,2&lt;=Inputs!$D$65+Inputs!$D$66,Inputs!$D$66&gt;0),(Inputs!$D$28*Inputs!$C$15+Inputs!$D$29*Inputs!$C$15)*(1+Inputs!$D$30)/Inputs!$D$66,0)</f>
        <v>0</v>
      </c>
      <c r="J49">
        <f>IF(AND(3&gt;Inputs!$D$65,3&lt;=Inputs!$D$65+Inputs!$D$66,Inputs!$D$66&gt;0),(Inputs!$D$28*Inputs!$C$15+Inputs!$D$29*Inputs!$C$15)*(1+Inputs!$D$30)/Inputs!$D$66,0)</f>
        <v>0</v>
      </c>
      <c r="K49">
        <f>IF(AND(4&gt;Inputs!$D$65,4&lt;=Inputs!$D$65+Inputs!$D$66,Inputs!$D$66&gt;0),(Inputs!$D$28*Inputs!$C$15+Inputs!$D$29*Inputs!$C$15)*(1+Inputs!$D$30)/Inputs!$D$66,0)</f>
        <v>0</v>
      </c>
      <c r="L49">
        <f>IF(AND(5&gt;Inputs!$D$65,5&lt;=Inputs!$D$65+Inputs!$D$66,Inputs!$D$66&gt;0),(Inputs!$D$28*Inputs!$C$15+Inputs!$D$29*Inputs!$C$15)*(1+Inputs!$D$30)/Inputs!$D$66,0)</f>
        <v>0</v>
      </c>
      <c r="M49">
        <f>IF(AND(6&gt;Inputs!$D$65,6&lt;=Inputs!$D$65+Inputs!$D$66,Inputs!$D$66&gt;0),(Inputs!$D$28*Inputs!$C$15+Inputs!$D$29*Inputs!$C$15)*(1+Inputs!$D$30)/Inputs!$D$66,0)</f>
        <v>0</v>
      </c>
      <c r="N49">
        <f>IF(AND(7&gt;Inputs!$D$65,7&lt;=Inputs!$D$65+Inputs!$D$66,Inputs!$D$66&gt;0),(Inputs!$D$28*Inputs!$C$15+Inputs!$D$29*Inputs!$C$15)*(1+Inputs!$D$30)/Inputs!$D$66,0)</f>
        <v>0</v>
      </c>
      <c r="O49">
        <f>IF(AND(8&gt;Inputs!$D$65,8&lt;=Inputs!$D$65+Inputs!$D$66,Inputs!$D$66&gt;0),(Inputs!$D$28*Inputs!$C$15+Inputs!$D$29*Inputs!$C$15)*(1+Inputs!$D$30)/Inputs!$D$66,0)</f>
        <v>0</v>
      </c>
      <c r="P49">
        <f>IF(AND(9&gt;Inputs!$D$65,9&lt;=Inputs!$D$65+Inputs!$D$66,Inputs!$D$66&gt;0),(Inputs!$D$28*Inputs!$C$15+Inputs!$D$29*Inputs!$C$15)*(1+Inputs!$D$30)/Inputs!$D$66,0)</f>
        <v>0</v>
      </c>
      <c r="Q49">
        <f>IF(AND(10&gt;Inputs!$D$65,10&lt;=Inputs!$D$65+Inputs!$D$66,Inputs!$D$66&gt;0),(Inputs!$D$28*Inputs!$C$15+Inputs!$D$29*Inputs!$C$15)*(1+Inputs!$D$30)/Inputs!$D$66,0)</f>
        <v>0</v>
      </c>
      <c r="R49">
        <f>IF(AND(11&gt;Inputs!$D$65,11&lt;=Inputs!$D$65+Inputs!$D$66,Inputs!$D$66&gt;0),(Inputs!$D$28*Inputs!$C$15+Inputs!$D$29*Inputs!$C$15)*(1+Inputs!$D$30)/Inputs!$D$66,0)</f>
        <v>0</v>
      </c>
      <c r="S49">
        <f>IF(AND(12&gt;Inputs!$D$65,12&lt;=Inputs!$D$65+Inputs!$D$66,Inputs!$D$66&gt;0),(Inputs!$D$28*Inputs!$C$15+Inputs!$D$29*Inputs!$C$15)*(1+Inputs!$D$30)/Inputs!$D$66,0)</f>
        <v>0</v>
      </c>
      <c r="T49">
        <f>IF(AND(13&gt;Inputs!$D$65,13&lt;=Inputs!$D$65+Inputs!$D$66,Inputs!$D$66&gt;0),(Inputs!$D$28*Inputs!$C$15+Inputs!$D$29*Inputs!$C$15)*(1+Inputs!$D$30)/Inputs!$D$66,0)</f>
        <v>0</v>
      </c>
      <c r="U49">
        <f>IF(AND(14&gt;Inputs!$D$65,14&lt;=Inputs!$D$65+Inputs!$D$66,Inputs!$D$66&gt;0),(Inputs!$D$28*Inputs!$C$15+Inputs!$D$29*Inputs!$C$15)*(1+Inputs!$D$30)/Inputs!$D$66,0)</f>
        <v>0</v>
      </c>
      <c r="V49">
        <f>IF(AND(15&gt;Inputs!$D$65,15&lt;=Inputs!$D$65+Inputs!$D$66,Inputs!$D$66&gt;0),(Inputs!$D$28*Inputs!$C$15+Inputs!$D$29*Inputs!$C$15)*(1+Inputs!$D$30)/Inputs!$D$66,0)</f>
        <v>0</v>
      </c>
      <c r="W49">
        <f>IF(AND(16&gt;Inputs!$D$65,16&lt;=Inputs!$D$65+Inputs!$D$66,Inputs!$D$66&gt;0),(Inputs!$D$28*Inputs!$C$15+Inputs!$D$29*Inputs!$C$15)*(1+Inputs!$D$30)/Inputs!$D$66,0)</f>
        <v>0</v>
      </c>
      <c r="X49">
        <f>IF(AND(17&gt;Inputs!$D$65,17&lt;=Inputs!$D$65+Inputs!$D$66,Inputs!$D$66&gt;0),(Inputs!$D$28*Inputs!$C$15+Inputs!$D$29*Inputs!$C$15)*(1+Inputs!$D$30)/Inputs!$D$66,0)</f>
        <v>0</v>
      </c>
      <c r="Y49">
        <f>IF(AND(18&gt;Inputs!$D$65,18&lt;=Inputs!$D$65+Inputs!$D$66,Inputs!$D$66&gt;0),(Inputs!$D$28*Inputs!$C$15+Inputs!$D$29*Inputs!$C$15)*(1+Inputs!$D$30)/Inputs!$D$66,0)</f>
        <v>0</v>
      </c>
      <c r="Z49">
        <f>IF(AND(19&gt;Inputs!$D$65,19&lt;=Inputs!$D$65+Inputs!$D$66,Inputs!$D$66&gt;0),(Inputs!$D$28*Inputs!$C$15+Inputs!$D$29*Inputs!$C$15)*(1+Inputs!$D$30)/Inputs!$D$66,0)</f>
        <v>0</v>
      </c>
      <c r="AA49">
        <f>IF(AND(20&gt;Inputs!$D$65,20&lt;=Inputs!$D$65+Inputs!$D$66,Inputs!$D$66&gt;0),(Inputs!$D$28*Inputs!$C$15+Inputs!$D$29*Inputs!$C$15)*(1+Inputs!$D$30)/Inputs!$D$66,0)</f>
        <v>0</v>
      </c>
      <c r="AB49">
        <f>IF(AND(21&gt;Inputs!$D$65,21&lt;=Inputs!$D$65+Inputs!$D$66,Inputs!$D$66&gt;0),(Inputs!$D$28*Inputs!$C$15+Inputs!$D$29*Inputs!$C$15)*(1+Inputs!$D$30)/Inputs!$D$66,0)</f>
        <v>0</v>
      </c>
      <c r="AC49">
        <f>IF(AND(22&gt;Inputs!$D$65,22&lt;=Inputs!$D$65+Inputs!$D$66,Inputs!$D$66&gt;0),(Inputs!$D$28*Inputs!$C$15+Inputs!$D$29*Inputs!$C$15)*(1+Inputs!$D$30)/Inputs!$D$66,0)</f>
        <v>0</v>
      </c>
      <c r="AD49">
        <f>IF(AND(23&gt;Inputs!$D$65,23&lt;=Inputs!$D$65+Inputs!$D$66,Inputs!$D$66&gt;0),(Inputs!$D$28*Inputs!$C$15+Inputs!$D$29*Inputs!$C$15)*(1+Inputs!$D$30)/Inputs!$D$66,0)</f>
        <v>0</v>
      </c>
      <c r="AE49">
        <f>IF(AND(24&gt;Inputs!$D$65,24&lt;=Inputs!$D$65+Inputs!$D$66,Inputs!$D$66&gt;0),(Inputs!$D$28*Inputs!$C$15+Inputs!$D$29*Inputs!$C$15)*(1+Inputs!$D$30)/Inputs!$D$66,0)</f>
        <v>0</v>
      </c>
      <c r="AF49">
        <f>IF(AND(25&gt;Inputs!$D$65,25&lt;=Inputs!$D$65+Inputs!$D$66,Inputs!$D$66&gt;0),(Inputs!$D$28*Inputs!$C$15+Inputs!$D$29*Inputs!$C$15)*(1+Inputs!$D$30)/Inputs!$D$66,0)</f>
        <v>0</v>
      </c>
      <c r="AG49">
        <f>IF(AND(26&gt;Inputs!$D$65,26&lt;=Inputs!$D$65+Inputs!$D$66,Inputs!$D$66&gt;0),(Inputs!$D$28*Inputs!$C$15+Inputs!$D$29*Inputs!$C$15)*(1+Inputs!$D$30)/Inputs!$D$66,0)</f>
        <v>0</v>
      </c>
      <c r="AH49">
        <f>IF(AND(27&gt;Inputs!$D$65,27&lt;=Inputs!$D$65+Inputs!$D$66,Inputs!$D$66&gt;0),(Inputs!$D$28*Inputs!$C$15+Inputs!$D$29*Inputs!$C$15)*(1+Inputs!$D$30)/Inputs!$D$66,0)</f>
        <v>0</v>
      </c>
      <c r="AI49">
        <f>IF(AND(28&gt;Inputs!$D$65,28&lt;=Inputs!$D$65+Inputs!$D$66,Inputs!$D$66&gt;0),(Inputs!$D$28*Inputs!$C$15+Inputs!$D$29*Inputs!$C$15)*(1+Inputs!$D$30)/Inputs!$D$66,0)</f>
        <v>0</v>
      </c>
      <c r="AJ49">
        <f>IF(AND(29&gt;Inputs!$D$65,29&lt;=Inputs!$D$65+Inputs!$D$66,Inputs!$D$66&gt;0),(Inputs!$D$28*Inputs!$C$15+Inputs!$D$29*Inputs!$C$15)*(1+Inputs!$D$30)/Inputs!$D$66,0)</f>
        <v>0</v>
      </c>
      <c r="AK49">
        <f>IF(AND(30&gt;Inputs!$D$65,30&lt;=Inputs!$D$65+Inputs!$D$66,Inputs!$D$66&gt;0),(Inputs!$D$28*Inputs!$C$15+Inputs!$D$29*Inputs!$C$15)*(1+Inputs!$D$30)/Inputs!$D$66,0)</f>
        <v>0</v>
      </c>
      <c r="AL49">
        <f>IF(AND(31&gt;Inputs!$D$65,31&lt;=Inputs!$D$65+Inputs!$D$66,Inputs!$D$66&gt;0),(Inputs!$D$28*Inputs!$C$15+Inputs!$D$29*Inputs!$C$15)*(1+Inputs!$D$30)/Inputs!$D$66,0)</f>
        <v>0</v>
      </c>
      <c r="AM49">
        <f>IF(AND(32&gt;Inputs!$D$65,32&lt;=Inputs!$D$65+Inputs!$D$66,Inputs!$D$66&gt;0),(Inputs!$D$28*Inputs!$C$15+Inputs!$D$29*Inputs!$C$15)*(1+Inputs!$D$30)/Inputs!$D$66,0)</f>
        <v>0</v>
      </c>
      <c r="AN49">
        <f>IF(AND(33&gt;Inputs!$D$65,33&lt;=Inputs!$D$65+Inputs!$D$66,Inputs!$D$66&gt;0),(Inputs!$D$28*Inputs!$C$15+Inputs!$D$29*Inputs!$C$15)*(1+Inputs!$D$30)/Inputs!$D$66,0)</f>
        <v>0</v>
      </c>
      <c r="AO49">
        <f>IF(AND(34&gt;Inputs!$D$65,34&lt;=Inputs!$D$65+Inputs!$D$66,Inputs!$D$66&gt;0),(Inputs!$D$28*Inputs!$C$15+Inputs!$D$29*Inputs!$C$15)*(1+Inputs!$D$30)/Inputs!$D$66,0)</f>
        <v>0</v>
      </c>
      <c r="AP49">
        <f>IF(AND(35&gt;Inputs!$D$65,35&lt;=Inputs!$D$65+Inputs!$D$66,Inputs!$D$66&gt;0),(Inputs!$D$28*Inputs!$C$15+Inputs!$D$29*Inputs!$C$15)*(1+Inputs!$D$30)/Inputs!$D$66,0)</f>
        <v>0</v>
      </c>
      <c r="AQ49">
        <f>IF(AND(36&gt;Inputs!$D$65,36&lt;=Inputs!$D$65+Inputs!$D$66,Inputs!$D$66&gt;0),(Inputs!$D$28*Inputs!$C$15+Inputs!$D$29*Inputs!$C$15)*(1+Inputs!$D$30)/Inputs!$D$66,0)</f>
        <v>0</v>
      </c>
      <c r="AR49">
        <f>IF(AND(37&gt;Inputs!$D$65,37&lt;=Inputs!$D$65+Inputs!$D$66,Inputs!$D$66&gt;0),(Inputs!$D$28*Inputs!$C$15+Inputs!$D$29*Inputs!$C$15)*(1+Inputs!$D$30)/Inputs!$D$66,0)</f>
        <v>0</v>
      </c>
      <c r="AS49">
        <f>IF(AND(38&gt;Inputs!$D$65,38&lt;=Inputs!$D$65+Inputs!$D$66,Inputs!$D$66&gt;0),(Inputs!$D$28*Inputs!$C$15+Inputs!$D$29*Inputs!$C$15)*(1+Inputs!$D$30)/Inputs!$D$66,0)</f>
        <v>0</v>
      </c>
      <c r="AT49">
        <f>IF(AND(39&gt;Inputs!$D$65,39&lt;=Inputs!$D$65+Inputs!$D$66,Inputs!$D$66&gt;0),(Inputs!$D$28*Inputs!$C$15+Inputs!$D$29*Inputs!$C$15)*(1+Inputs!$D$30)/Inputs!$D$66,0)</f>
        <v>0</v>
      </c>
      <c r="AU49">
        <f>IF(AND(40&gt;Inputs!$D$65,40&lt;=Inputs!$D$65+Inputs!$D$66,Inputs!$D$66&gt;0),(Inputs!$D$28*Inputs!$C$15+Inputs!$D$29*Inputs!$C$15)*(1+Inputs!$D$30)/Inputs!$D$66,0)</f>
        <v>0</v>
      </c>
      <c r="AV49">
        <f>IF(AND(41&gt;Inputs!$D$65,41&lt;=Inputs!$D$65+Inputs!$D$66,Inputs!$D$66&gt;0),(Inputs!$D$28*Inputs!$C$15+Inputs!$D$29*Inputs!$C$15)*(1+Inputs!$D$30)/Inputs!$D$66,0)</f>
        <v>0</v>
      </c>
      <c r="AW49">
        <f>IF(AND(42&gt;Inputs!$D$65,42&lt;=Inputs!$D$65+Inputs!$D$66,Inputs!$D$66&gt;0),(Inputs!$D$28*Inputs!$C$15+Inputs!$D$29*Inputs!$C$15)*(1+Inputs!$D$30)/Inputs!$D$66,0)</f>
        <v>0</v>
      </c>
      <c r="AX49">
        <f>IF(AND(43&gt;Inputs!$D$65,43&lt;=Inputs!$D$65+Inputs!$D$66,Inputs!$D$66&gt;0),(Inputs!$D$28*Inputs!$C$15+Inputs!$D$29*Inputs!$C$15)*(1+Inputs!$D$30)/Inputs!$D$66,0)</f>
        <v>0</v>
      </c>
      <c r="AY49">
        <f>IF(AND(44&gt;Inputs!$D$65,44&lt;=Inputs!$D$65+Inputs!$D$66,Inputs!$D$66&gt;0),(Inputs!$D$28*Inputs!$C$15+Inputs!$D$29*Inputs!$C$15)*(1+Inputs!$D$30)/Inputs!$D$66,0)</f>
        <v>0</v>
      </c>
      <c r="AZ49">
        <f>IF(AND(45&gt;Inputs!$D$65,45&lt;=Inputs!$D$65+Inputs!$D$66,Inputs!$D$66&gt;0),(Inputs!$D$28*Inputs!$C$15+Inputs!$D$29*Inputs!$C$15)*(1+Inputs!$D$30)/Inputs!$D$66,0)</f>
        <v>0</v>
      </c>
      <c r="BA49">
        <f>IF(AND(46&gt;Inputs!$D$65,46&lt;=Inputs!$D$65+Inputs!$D$66,Inputs!$D$66&gt;0),(Inputs!$D$28*Inputs!$C$15+Inputs!$D$29*Inputs!$C$15)*(1+Inputs!$D$30)/Inputs!$D$66,0)</f>
        <v>0</v>
      </c>
      <c r="BB49">
        <f>IF(AND(47&gt;Inputs!$D$65,47&lt;=Inputs!$D$65+Inputs!$D$66,Inputs!$D$66&gt;0),(Inputs!$D$28*Inputs!$C$15+Inputs!$D$29*Inputs!$C$15)*(1+Inputs!$D$30)/Inputs!$D$66,0)</f>
        <v>0</v>
      </c>
      <c r="BC49">
        <f>IF(AND(48&gt;Inputs!$D$65,48&lt;=Inputs!$D$65+Inputs!$D$66,Inputs!$D$66&gt;0),(Inputs!$D$28*Inputs!$C$15+Inputs!$D$29*Inputs!$C$15)*(1+Inputs!$D$30)/Inputs!$D$66,0)</f>
        <v>0</v>
      </c>
      <c r="BD49">
        <f>IF(AND(49&gt;Inputs!$D$65,49&lt;=Inputs!$D$65+Inputs!$D$66,Inputs!$D$66&gt;0),(Inputs!$D$28*Inputs!$C$15+Inputs!$D$29*Inputs!$C$15)*(1+Inputs!$D$30)/Inputs!$D$66,0)</f>
        <v>0</v>
      </c>
      <c r="BE49">
        <f>IF(AND(50&gt;Inputs!$D$65,50&lt;=Inputs!$D$65+Inputs!$D$66,Inputs!$D$66&gt;0),(Inputs!$D$28*Inputs!$C$15+Inputs!$D$29*Inputs!$C$15)*(1+Inputs!$D$30)/Inputs!$D$66,0)</f>
        <v>0</v>
      </c>
      <c r="BF49">
        <f>IF(AND(51&gt;Inputs!$D$65,51&lt;=Inputs!$D$65+Inputs!$D$66,Inputs!$D$66&gt;0),(Inputs!$D$28*Inputs!$C$15+Inputs!$D$29*Inputs!$C$15)*(1+Inputs!$D$30)/Inputs!$D$66,0)</f>
        <v>0</v>
      </c>
      <c r="BG49">
        <f>IF(AND(52&gt;Inputs!$D$65,52&lt;=Inputs!$D$65+Inputs!$D$66,Inputs!$D$66&gt;0),(Inputs!$D$28*Inputs!$C$15+Inputs!$D$29*Inputs!$C$15)*(1+Inputs!$D$30)/Inputs!$D$66,0)</f>
        <v>0</v>
      </c>
      <c r="BH49">
        <f>IF(AND(53&gt;Inputs!$D$65,53&lt;=Inputs!$D$65+Inputs!$D$66,Inputs!$D$66&gt;0),(Inputs!$D$28*Inputs!$C$15+Inputs!$D$29*Inputs!$C$15)*(1+Inputs!$D$30)/Inputs!$D$66,0)</f>
        <v>0</v>
      </c>
      <c r="BI49">
        <f>IF(AND(54&gt;Inputs!$D$65,54&lt;=Inputs!$D$65+Inputs!$D$66,Inputs!$D$66&gt;0),(Inputs!$D$28*Inputs!$C$15+Inputs!$D$29*Inputs!$C$15)*(1+Inputs!$D$30)/Inputs!$D$66,0)</f>
        <v>0</v>
      </c>
      <c r="BJ49">
        <f>IF(AND(55&gt;Inputs!$D$65,55&lt;=Inputs!$D$65+Inputs!$D$66,Inputs!$D$66&gt;0),(Inputs!$D$28*Inputs!$C$15+Inputs!$D$29*Inputs!$C$15)*(1+Inputs!$D$30)/Inputs!$D$66,0)</f>
        <v>0</v>
      </c>
      <c r="BK49">
        <f>IF(AND(56&gt;Inputs!$D$65,56&lt;=Inputs!$D$65+Inputs!$D$66,Inputs!$D$66&gt;0),(Inputs!$D$28*Inputs!$C$15+Inputs!$D$29*Inputs!$C$15)*(1+Inputs!$D$30)/Inputs!$D$66,0)</f>
        <v>0</v>
      </c>
      <c r="BL49">
        <f>IF(AND(57&gt;Inputs!$D$65,57&lt;=Inputs!$D$65+Inputs!$D$66,Inputs!$D$66&gt;0),(Inputs!$D$28*Inputs!$C$15+Inputs!$D$29*Inputs!$C$15)*(1+Inputs!$D$30)/Inputs!$D$66,0)</f>
        <v>0</v>
      </c>
      <c r="BM49">
        <f>IF(AND(58&gt;Inputs!$D$65,58&lt;=Inputs!$D$65+Inputs!$D$66,Inputs!$D$66&gt;0),(Inputs!$D$28*Inputs!$C$15+Inputs!$D$29*Inputs!$C$15)*(1+Inputs!$D$30)/Inputs!$D$66,0)</f>
        <v>0</v>
      </c>
      <c r="BN49">
        <f>IF(AND(59&gt;Inputs!$D$65,59&lt;=Inputs!$D$65+Inputs!$D$66,Inputs!$D$66&gt;0),(Inputs!$D$28*Inputs!$C$15+Inputs!$D$29*Inputs!$C$15)*(1+Inputs!$D$30)/Inputs!$D$66,0)</f>
        <v>0</v>
      </c>
      <c r="BO49">
        <f>IF(AND(60&gt;Inputs!$D$65,60&lt;=Inputs!$D$65+Inputs!$D$66,Inputs!$D$66&gt;0),(Inputs!$D$28*Inputs!$C$15+Inputs!$D$29*Inputs!$C$15)*(1+Inputs!$D$30)/Inputs!$D$66,0)</f>
        <v>0</v>
      </c>
    </row>
    <row r="50">
      <c r="B50" t="str">
        <v>Other costs</v>
      </c>
      <c r="C50">
        <f>SUM(H50:BO50)</f>
        <v>0</v>
      </c>
      <c r="H50">
        <f>IF(AND(1&gt;Inputs!$D$65,1&lt;=Inputs!$D$65+Inputs!$D$66,Inputs!$D$66&gt;0),Inputs!$D$31/Inputs!$D$66,0)</f>
        <v>0</v>
      </c>
      <c r="I50">
        <f>IF(AND(2&gt;Inputs!$D$65,2&lt;=Inputs!$D$65+Inputs!$D$66,Inputs!$D$66&gt;0),Inputs!$D$31/Inputs!$D$66,0)</f>
        <v>0</v>
      </c>
      <c r="J50">
        <f>IF(AND(3&gt;Inputs!$D$65,3&lt;=Inputs!$D$65+Inputs!$D$66,Inputs!$D$66&gt;0),Inputs!$D$31/Inputs!$D$66,0)</f>
        <v>0</v>
      </c>
      <c r="K50">
        <f>IF(AND(4&gt;Inputs!$D$65,4&lt;=Inputs!$D$65+Inputs!$D$66,Inputs!$D$66&gt;0),Inputs!$D$31/Inputs!$D$66,0)</f>
        <v>0</v>
      </c>
      <c r="L50">
        <f>IF(AND(5&gt;Inputs!$D$65,5&lt;=Inputs!$D$65+Inputs!$D$66,Inputs!$D$66&gt;0),Inputs!$D$31/Inputs!$D$66,0)</f>
        <v>0</v>
      </c>
      <c r="M50">
        <f>IF(AND(6&gt;Inputs!$D$65,6&lt;=Inputs!$D$65+Inputs!$D$66,Inputs!$D$66&gt;0),Inputs!$D$31/Inputs!$D$66,0)</f>
        <v>0</v>
      </c>
      <c r="N50">
        <f>IF(AND(7&gt;Inputs!$D$65,7&lt;=Inputs!$D$65+Inputs!$D$66,Inputs!$D$66&gt;0),Inputs!$D$31/Inputs!$D$66,0)</f>
        <v>0</v>
      </c>
      <c r="O50">
        <f>IF(AND(8&gt;Inputs!$D$65,8&lt;=Inputs!$D$65+Inputs!$D$66,Inputs!$D$66&gt;0),Inputs!$D$31/Inputs!$D$66,0)</f>
        <v>0</v>
      </c>
      <c r="P50">
        <f>IF(AND(9&gt;Inputs!$D$65,9&lt;=Inputs!$D$65+Inputs!$D$66,Inputs!$D$66&gt;0),Inputs!$D$31/Inputs!$D$66,0)</f>
        <v>0</v>
      </c>
      <c r="Q50">
        <f>IF(AND(10&gt;Inputs!$D$65,10&lt;=Inputs!$D$65+Inputs!$D$66,Inputs!$D$66&gt;0),Inputs!$D$31/Inputs!$D$66,0)</f>
        <v>0</v>
      </c>
      <c r="R50">
        <f>IF(AND(11&gt;Inputs!$D$65,11&lt;=Inputs!$D$65+Inputs!$D$66,Inputs!$D$66&gt;0),Inputs!$D$31/Inputs!$D$66,0)</f>
        <v>0</v>
      </c>
      <c r="S50">
        <f>IF(AND(12&gt;Inputs!$D$65,12&lt;=Inputs!$D$65+Inputs!$D$66,Inputs!$D$66&gt;0),Inputs!$D$31/Inputs!$D$66,0)</f>
        <v>0</v>
      </c>
      <c r="T50">
        <f>IF(AND(13&gt;Inputs!$D$65,13&lt;=Inputs!$D$65+Inputs!$D$66,Inputs!$D$66&gt;0),Inputs!$D$31/Inputs!$D$66,0)</f>
        <v>0</v>
      </c>
      <c r="U50">
        <f>IF(AND(14&gt;Inputs!$D$65,14&lt;=Inputs!$D$65+Inputs!$D$66,Inputs!$D$66&gt;0),Inputs!$D$31/Inputs!$D$66,0)</f>
        <v>0</v>
      </c>
      <c r="V50">
        <f>IF(AND(15&gt;Inputs!$D$65,15&lt;=Inputs!$D$65+Inputs!$D$66,Inputs!$D$66&gt;0),Inputs!$D$31/Inputs!$D$66,0)</f>
        <v>0</v>
      </c>
      <c r="W50">
        <f>IF(AND(16&gt;Inputs!$D$65,16&lt;=Inputs!$D$65+Inputs!$D$66,Inputs!$D$66&gt;0),Inputs!$D$31/Inputs!$D$66,0)</f>
        <v>0</v>
      </c>
      <c r="X50">
        <f>IF(AND(17&gt;Inputs!$D$65,17&lt;=Inputs!$D$65+Inputs!$D$66,Inputs!$D$66&gt;0),Inputs!$D$31/Inputs!$D$66,0)</f>
        <v>0</v>
      </c>
      <c r="Y50">
        <f>IF(AND(18&gt;Inputs!$D$65,18&lt;=Inputs!$D$65+Inputs!$D$66,Inputs!$D$66&gt;0),Inputs!$D$31/Inputs!$D$66,0)</f>
        <v>0</v>
      </c>
      <c r="Z50">
        <f>IF(AND(19&gt;Inputs!$D$65,19&lt;=Inputs!$D$65+Inputs!$D$66,Inputs!$D$66&gt;0),Inputs!$D$31/Inputs!$D$66,0)</f>
        <v>0</v>
      </c>
      <c r="AA50">
        <f>IF(AND(20&gt;Inputs!$D$65,20&lt;=Inputs!$D$65+Inputs!$D$66,Inputs!$D$66&gt;0),Inputs!$D$31/Inputs!$D$66,0)</f>
        <v>0</v>
      </c>
      <c r="AB50">
        <f>IF(AND(21&gt;Inputs!$D$65,21&lt;=Inputs!$D$65+Inputs!$D$66,Inputs!$D$66&gt;0),Inputs!$D$31/Inputs!$D$66,0)</f>
        <v>0</v>
      </c>
      <c r="AC50">
        <f>IF(AND(22&gt;Inputs!$D$65,22&lt;=Inputs!$D$65+Inputs!$D$66,Inputs!$D$66&gt;0),Inputs!$D$31/Inputs!$D$66,0)</f>
        <v>0</v>
      </c>
      <c r="AD50">
        <f>IF(AND(23&gt;Inputs!$D$65,23&lt;=Inputs!$D$65+Inputs!$D$66,Inputs!$D$66&gt;0),Inputs!$D$31/Inputs!$D$66,0)</f>
        <v>0</v>
      </c>
      <c r="AE50">
        <f>IF(AND(24&gt;Inputs!$D$65,24&lt;=Inputs!$D$65+Inputs!$D$66,Inputs!$D$66&gt;0),Inputs!$D$31/Inputs!$D$66,0)</f>
        <v>0</v>
      </c>
      <c r="AF50">
        <f>IF(AND(25&gt;Inputs!$D$65,25&lt;=Inputs!$D$65+Inputs!$D$66,Inputs!$D$66&gt;0),Inputs!$D$31/Inputs!$D$66,0)</f>
        <v>0</v>
      </c>
      <c r="AG50">
        <f>IF(AND(26&gt;Inputs!$D$65,26&lt;=Inputs!$D$65+Inputs!$D$66,Inputs!$D$66&gt;0),Inputs!$D$31/Inputs!$D$66,0)</f>
        <v>0</v>
      </c>
      <c r="AH50">
        <f>IF(AND(27&gt;Inputs!$D$65,27&lt;=Inputs!$D$65+Inputs!$D$66,Inputs!$D$66&gt;0),Inputs!$D$31/Inputs!$D$66,0)</f>
        <v>0</v>
      </c>
      <c r="AI50">
        <f>IF(AND(28&gt;Inputs!$D$65,28&lt;=Inputs!$D$65+Inputs!$D$66,Inputs!$D$66&gt;0),Inputs!$D$31/Inputs!$D$66,0)</f>
        <v>0</v>
      </c>
      <c r="AJ50">
        <f>IF(AND(29&gt;Inputs!$D$65,29&lt;=Inputs!$D$65+Inputs!$D$66,Inputs!$D$66&gt;0),Inputs!$D$31/Inputs!$D$66,0)</f>
        <v>0</v>
      </c>
      <c r="AK50">
        <f>IF(AND(30&gt;Inputs!$D$65,30&lt;=Inputs!$D$65+Inputs!$D$66,Inputs!$D$66&gt;0),Inputs!$D$31/Inputs!$D$66,0)</f>
        <v>0</v>
      </c>
      <c r="AL50">
        <f>IF(AND(31&gt;Inputs!$D$65,31&lt;=Inputs!$D$65+Inputs!$D$66,Inputs!$D$66&gt;0),Inputs!$D$31/Inputs!$D$66,0)</f>
        <v>0</v>
      </c>
      <c r="AM50">
        <f>IF(AND(32&gt;Inputs!$D$65,32&lt;=Inputs!$D$65+Inputs!$D$66,Inputs!$D$66&gt;0),Inputs!$D$31/Inputs!$D$66,0)</f>
        <v>0</v>
      </c>
      <c r="AN50">
        <f>IF(AND(33&gt;Inputs!$D$65,33&lt;=Inputs!$D$65+Inputs!$D$66,Inputs!$D$66&gt;0),Inputs!$D$31/Inputs!$D$66,0)</f>
        <v>0</v>
      </c>
      <c r="AO50">
        <f>IF(AND(34&gt;Inputs!$D$65,34&lt;=Inputs!$D$65+Inputs!$D$66,Inputs!$D$66&gt;0),Inputs!$D$31/Inputs!$D$66,0)</f>
        <v>0</v>
      </c>
      <c r="AP50">
        <f>IF(AND(35&gt;Inputs!$D$65,35&lt;=Inputs!$D$65+Inputs!$D$66,Inputs!$D$66&gt;0),Inputs!$D$31/Inputs!$D$66,0)</f>
        <v>0</v>
      </c>
      <c r="AQ50">
        <f>IF(AND(36&gt;Inputs!$D$65,36&lt;=Inputs!$D$65+Inputs!$D$66,Inputs!$D$66&gt;0),Inputs!$D$31/Inputs!$D$66,0)</f>
        <v>0</v>
      </c>
      <c r="AR50">
        <f>IF(AND(37&gt;Inputs!$D$65,37&lt;=Inputs!$D$65+Inputs!$D$66,Inputs!$D$66&gt;0),Inputs!$D$31/Inputs!$D$66,0)</f>
        <v>0</v>
      </c>
      <c r="AS50">
        <f>IF(AND(38&gt;Inputs!$D$65,38&lt;=Inputs!$D$65+Inputs!$D$66,Inputs!$D$66&gt;0),Inputs!$D$31/Inputs!$D$66,0)</f>
        <v>0</v>
      </c>
      <c r="AT50">
        <f>IF(AND(39&gt;Inputs!$D$65,39&lt;=Inputs!$D$65+Inputs!$D$66,Inputs!$D$66&gt;0),Inputs!$D$31/Inputs!$D$66,0)</f>
        <v>0</v>
      </c>
      <c r="AU50">
        <f>IF(AND(40&gt;Inputs!$D$65,40&lt;=Inputs!$D$65+Inputs!$D$66,Inputs!$D$66&gt;0),Inputs!$D$31/Inputs!$D$66,0)</f>
        <v>0</v>
      </c>
      <c r="AV50">
        <f>IF(AND(41&gt;Inputs!$D$65,41&lt;=Inputs!$D$65+Inputs!$D$66,Inputs!$D$66&gt;0),Inputs!$D$31/Inputs!$D$66,0)</f>
        <v>0</v>
      </c>
      <c r="AW50">
        <f>IF(AND(42&gt;Inputs!$D$65,42&lt;=Inputs!$D$65+Inputs!$D$66,Inputs!$D$66&gt;0),Inputs!$D$31/Inputs!$D$66,0)</f>
        <v>0</v>
      </c>
      <c r="AX50">
        <f>IF(AND(43&gt;Inputs!$D$65,43&lt;=Inputs!$D$65+Inputs!$D$66,Inputs!$D$66&gt;0),Inputs!$D$31/Inputs!$D$66,0)</f>
        <v>0</v>
      </c>
      <c r="AY50">
        <f>IF(AND(44&gt;Inputs!$D$65,44&lt;=Inputs!$D$65+Inputs!$D$66,Inputs!$D$66&gt;0),Inputs!$D$31/Inputs!$D$66,0)</f>
        <v>0</v>
      </c>
      <c r="AZ50">
        <f>IF(AND(45&gt;Inputs!$D$65,45&lt;=Inputs!$D$65+Inputs!$D$66,Inputs!$D$66&gt;0),Inputs!$D$31/Inputs!$D$66,0)</f>
        <v>0</v>
      </c>
      <c r="BA50">
        <f>IF(AND(46&gt;Inputs!$D$65,46&lt;=Inputs!$D$65+Inputs!$D$66,Inputs!$D$66&gt;0),Inputs!$D$31/Inputs!$D$66,0)</f>
        <v>0</v>
      </c>
      <c r="BB50">
        <f>IF(AND(47&gt;Inputs!$D$65,47&lt;=Inputs!$D$65+Inputs!$D$66,Inputs!$D$66&gt;0),Inputs!$D$31/Inputs!$D$66,0)</f>
        <v>0</v>
      </c>
      <c r="BC50">
        <f>IF(AND(48&gt;Inputs!$D$65,48&lt;=Inputs!$D$65+Inputs!$D$66,Inputs!$D$66&gt;0),Inputs!$D$31/Inputs!$D$66,0)</f>
        <v>0</v>
      </c>
      <c r="BD50">
        <f>IF(AND(49&gt;Inputs!$D$65,49&lt;=Inputs!$D$65+Inputs!$D$66,Inputs!$D$66&gt;0),Inputs!$D$31/Inputs!$D$66,0)</f>
        <v>0</v>
      </c>
      <c r="BE50">
        <f>IF(AND(50&gt;Inputs!$D$65,50&lt;=Inputs!$D$65+Inputs!$D$66,Inputs!$D$66&gt;0),Inputs!$D$31/Inputs!$D$66,0)</f>
        <v>0</v>
      </c>
      <c r="BF50">
        <f>IF(AND(51&gt;Inputs!$D$65,51&lt;=Inputs!$D$65+Inputs!$D$66,Inputs!$D$66&gt;0),Inputs!$D$31/Inputs!$D$66,0)</f>
        <v>0</v>
      </c>
      <c r="BG50">
        <f>IF(AND(52&gt;Inputs!$D$65,52&lt;=Inputs!$D$65+Inputs!$D$66,Inputs!$D$66&gt;0),Inputs!$D$31/Inputs!$D$66,0)</f>
        <v>0</v>
      </c>
      <c r="BH50">
        <f>IF(AND(53&gt;Inputs!$D$65,53&lt;=Inputs!$D$65+Inputs!$D$66,Inputs!$D$66&gt;0),Inputs!$D$31/Inputs!$D$66,0)</f>
        <v>0</v>
      </c>
      <c r="BI50">
        <f>IF(AND(54&gt;Inputs!$D$65,54&lt;=Inputs!$D$65+Inputs!$D$66,Inputs!$D$66&gt;0),Inputs!$D$31/Inputs!$D$66,0)</f>
        <v>0</v>
      </c>
      <c r="BJ50">
        <f>IF(AND(55&gt;Inputs!$D$65,55&lt;=Inputs!$D$65+Inputs!$D$66,Inputs!$D$66&gt;0),Inputs!$D$31/Inputs!$D$66,0)</f>
        <v>0</v>
      </c>
      <c r="BK50">
        <f>IF(AND(56&gt;Inputs!$D$65,56&lt;=Inputs!$D$65+Inputs!$D$66,Inputs!$D$66&gt;0),Inputs!$D$31/Inputs!$D$66,0)</f>
        <v>0</v>
      </c>
      <c r="BL50">
        <f>IF(AND(57&gt;Inputs!$D$65,57&lt;=Inputs!$D$65+Inputs!$D$66,Inputs!$D$66&gt;0),Inputs!$D$31/Inputs!$D$66,0)</f>
        <v>0</v>
      </c>
      <c r="BM50">
        <f>IF(AND(58&gt;Inputs!$D$65,58&lt;=Inputs!$D$65+Inputs!$D$66,Inputs!$D$66&gt;0),Inputs!$D$31/Inputs!$D$66,0)</f>
        <v>0</v>
      </c>
      <c r="BN50">
        <f>IF(AND(59&gt;Inputs!$D$65,59&lt;=Inputs!$D$65+Inputs!$D$66,Inputs!$D$66&gt;0),Inputs!$D$31/Inputs!$D$66,0)</f>
        <v>0</v>
      </c>
      <c r="BO50">
        <f>IF(AND(60&gt;Inputs!$D$65,60&lt;=Inputs!$D$65+Inputs!$D$66,Inputs!$D$66&gt;0),Inputs!$D$31/Inputs!$D$66,0)</f>
        <v>0</v>
      </c>
    </row>
    <row r="51">
      <c r="B51" t="str">
        <v>Total Costs</v>
      </c>
      <c r="C51">
        <f>SUM(H51:BO51)</f>
        <v>0</v>
      </c>
      <c r="H51">
        <f>H48+H49+H50</f>
        <v>0</v>
      </c>
      <c r="I51">
        <f>I48+I49+I50</f>
        <v>0</v>
      </c>
      <c r="J51">
        <f>J48+J49+J50</f>
        <v>0</v>
      </c>
      <c r="K51">
        <f>K48+K49+K50</f>
        <v>0</v>
      </c>
      <c r="L51">
        <f>L48+L49+L50</f>
        <v>0</v>
      </c>
      <c r="M51">
        <f>M48+M49+M50</f>
        <v>0</v>
      </c>
      <c r="N51">
        <f>N48+N49+N50</f>
        <v>0</v>
      </c>
      <c r="O51">
        <f>O48+O49+O50</f>
        <v>0</v>
      </c>
      <c r="P51">
        <f>P48+P49+P50</f>
        <v>0</v>
      </c>
      <c r="Q51">
        <f>Q48+Q49+Q50</f>
        <v>0</v>
      </c>
      <c r="R51">
        <f>R48+R49+R50</f>
        <v>0</v>
      </c>
      <c r="S51">
        <f>S48+S49+S50</f>
        <v>0</v>
      </c>
      <c r="T51">
        <f>T48+T49+T50</f>
        <v>0</v>
      </c>
      <c r="U51">
        <f>U48+U49+U50</f>
        <v>0</v>
      </c>
      <c r="V51">
        <f>V48+V49+V50</f>
        <v>0</v>
      </c>
      <c r="W51">
        <f>W48+W49+W50</f>
        <v>0</v>
      </c>
      <c r="X51">
        <f>X48+X49+X50</f>
        <v>0</v>
      </c>
      <c r="Y51">
        <f>Y48+Y49+Y50</f>
        <v>0</v>
      </c>
      <c r="Z51">
        <f>Z48+Z49+Z50</f>
        <v>0</v>
      </c>
      <c r="AA51">
        <f>AA48+AA49+AA50</f>
        <v>0</v>
      </c>
      <c r="AB51">
        <f>AB48+AB49+AB50</f>
        <v>0</v>
      </c>
      <c r="AC51">
        <f>AC48+AC49+AC50</f>
        <v>0</v>
      </c>
      <c r="AD51">
        <f>AD48+AD49+AD50</f>
        <v>0</v>
      </c>
      <c r="AE51">
        <f>AE48+AE49+AE50</f>
        <v>0</v>
      </c>
      <c r="AF51">
        <f>AF48+AF49+AF50</f>
        <v>0</v>
      </c>
      <c r="AG51">
        <f>AG48+AG49+AG50</f>
        <v>0</v>
      </c>
      <c r="AH51">
        <f>AH48+AH49+AH50</f>
        <v>0</v>
      </c>
      <c r="AI51">
        <f>AI48+AI49+AI50</f>
        <v>0</v>
      </c>
      <c r="AJ51">
        <f>AJ48+AJ49+AJ50</f>
        <v>0</v>
      </c>
      <c r="AK51">
        <f>AK48+AK49+AK50</f>
        <v>0</v>
      </c>
      <c r="AL51">
        <f>AL48+AL49+AL50</f>
        <v>0</v>
      </c>
      <c r="AM51">
        <f>AM48+AM49+AM50</f>
        <v>0</v>
      </c>
      <c r="AN51">
        <f>AN48+AN49+AN50</f>
        <v>0</v>
      </c>
      <c r="AO51">
        <f>AO48+AO49+AO50</f>
        <v>0</v>
      </c>
      <c r="AP51">
        <f>AP48+AP49+AP50</f>
        <v>0</v>
      </c>
      <c r="AQ51">
        <f>AQ48+AQ49+AQ50</f>
        <v>0</v>
      </c>
      <c r="AR51">
        <f>AR48+AR49+AR50</f>
        <v>0</v>
      </c>
      <c r="AS51">
        <f>AS48+AS49+AS50</f>
        <v>0</v>
      </c>
      <c r="AT51">
        <f>AT48+AT49+AT50</f>
        <v>0</v>
      </c>
      <c r="AU51">
        <f>AU48+AU49+AU50</f>
        <v>0</v>
      </c>
      <c r="AV51">
        <f>AV48+AV49+AV50</f>
        <v>0</v>
      </c>
      <c r="AW51">
        <f>AW48+AW49+AW50</f>
        <v>0</v>
      </c>
      <c r="AX51">
        <f>AX48+AX49+AX50</f>
        <v>0</v>
      </c>
      <c r="AY51">
        <f>AY48+AY49+AY50</f>
        <v>0</v>
      </c>
      <c r="AZ51">
        <f>AZ48+AZ49+AZ50</f>
        <v>0</v>
      </c>
      <c r="BA51">
        <f>BA48+BA49+BA50</f>
        <v>0</v>
      </c>
      <c r="BB51">
        <f>BB48+BB49+BB50</f>
        <v>0</v>
      </c>
      <c r="BC51">
        <f>BC48+BC49+BC50</f>
        <v>0</v>
      </c>
      <c r="BD51">
        <f>BD48+BD49+BD50</f>
        <v>0</v>
      </c>
      <c r="BE51">
        <f>BE48+BE49+BE50</f>
        <v>0</v>
      </c>
      <c r="BF51">
        <f>BF48+BF49+BF50</f>
        <v>0</v>
      </c>
      <c r="BG51">
        <f>BG48+BG49+BG50</f>
        <v>0</v>
      </c>
      <c r="BH51">
        <f>BH48+BH49+BH50</f>
        <v>0</v>
      </c>
      <c r="BI51">
        <f>BI48+BI49+BI50</f>
        <v>0</v>
      </c>
      <c r="BJ51">
        <f>BJ48+BJ49+BJ50</f>
        <v>0</v>
      </c>
      <c r="BK51">
        <f>BK48+BK49+BK50</f>
        <v>0</v>
      </c>
      <c r="BL51">
        <f>BL48+BL49+BL50</f>
        <v>0</v>
      </c>
      <c r="BM51">
        <f>BM48+BM49+BM50</f>
        <v>0</v>
      </c>
      <c r="BN51">
        <f>BN48+BN49+BN50</f>
        <v>0</v>
      </c>
      <c r="BO51">
        <f>BO48+BO49+BO50</f>
        <v>0</v>
      </c>
    </row>
    <row r="53">
      <c r="B53" t="str">
        <v>SALES PROCEEDS</v>
      </c>
    </row>
    <row r="55">
      <c r="B55" t="str">
        <v>Sales proceeds (reserve + construction + delivery)</v>
      </c>
      <c r="C55">
        <f>SUM(H55:BO55)</f>
        <v>0</v>
      </c>
      <c r="H55">
        <f>IF(AND(1&gt;Inputs!$D$65+Inputs!$D$67,1&lt;=Inputs!$D$65+Inputs!$D$66,Inputs!$D$66&gt;Inputs!$D$67),Inputs!$C$18*(Inputs!$D$74+Inputs!$D$75)/MAX(Inputs!$D$66-Inputs!$D$67,1),0)+IF(1=Inputs!$D$65+Inputs!$D$66+Inputs!$D$77,Inputs!$C$18*Inputs!$D$76,0)</f>
        <v>0</v>
      </c>
      <c r="I55">
        <f>IF(AND(2&gt;Inputs!$D$65+Inputs!$D$67,2&lt;=Inputs!$D$65+Inputs!$D$66,Inputs!$D$66&gt;Inputs!$D$67),Inputs!$C$18*(Inputs!$D$74+Inputs!$D$75)/MAX(Inputs!$D$66-Inputs!$D$67,1),0)+IF(2=Inputs!$D$65+Inputs!$D$66+Inputs!$D$77,Inputs!$C$18*Inputs!$D$76,0)</f>
        <v>0</v>
      </c>
      <c r="J55">
        <f>IF(AND(3&gt;Inputs!$D$65+Inputs!$D$67,3&lt;=Inputs!$D$65+Inputs!$D$66,Inputs!$D$66&gt;Inputs!$D$67),Inputs!$C$18*(Inputs!$D$74+Inputs!$D$75)/MAX(Inputs!$D$66-Inputs!$D$67,1),0)+IF(3=Inputs!$D$65+Inputs!$D$66+Inputs!$D$77,Inputs!$C$18*Inputs!$D$76,0)</f>
        <v>0</v>
      </c>
      <c r="K55">
        <f>IF(AND(4&gt;Inputs!$D$65+Inputs!$D$67,4&lt;=Inputs!$D$65+Inputs!$D$66,Inputs!$D$66&gt;Inputs!$D$67),Inputs!$C$18*(Inputs!$D$74+Inputs!$D$75)/MAX(Inputs!$D$66-Inputs!$D$67,1),0)+IF(4=Inputs!$D$65+Inputs!$D$66+Inputs!$D$77,Inputs!$C$18*Inputs!$D$76,0)</f>
        <v>0</v>
      </c>
      <c r="L55">
        <f>IF(AND(5&gt;Inputs!$D$65+Inputs!$D$67,5&lt;=Inputs!$D$65+Inputs!$D$66,Inputs!$D$66&gt;Inputs!$D$67),Inputs!$C$18*(Inputs!$D$74+Inputs!$D$75)/MAX(Inputs!$D$66-Inputs!$D$67,1),0)+IF(5=Inputs!$D$65+Inputs!$D$66+Inputs!$D$77,Inputs!$C$18*Inputs!$D$76,0)</f>
        <v>0</v>
      </c>
      <c r="M55">
        <f>IF(AND(6&gt;Inputs!$D$65+Inputs!$D$67,6&lt;=Inputs!$D$65+Inputs!$D$66,Inputs!$D$66&gt;Inputs!$D$67),Inputs!$C$18*(Inputs!$D$74+Inputs!$D$75)/MAX(Inputs!$D$66-Inputs!$D$67,1),0)+IF(6=Inputs!$D$65+Inputs!$D$66+Inputs!$D$77,Inputs!$C$18*Inputs!$D$76,0)</f>
        <v>0</v>
      </c>
      <c r="N55">
        <f>IF(AND(7&gt;Inputs!$D$65+Inputs!$D$67,7&lt;=Inputs!$D$65+Inputs!$D$66,Inputs!$D$66&gt;Inputs!$D$67),Inputs!$C$18*(Inputs!$D$74+Inputs!$D$75)/MAX(Inputs!$D$66-Inputs!$D$67,1),0)+IF(7=Inputs!$D$65+Inputs!$D$66+Inputs!$D$77,Inputs!$C$18*Inputs!$D$76,0)</f>
        <v>0</v>
      </c>
      <c r="O55">
        <f>IF(AND(8&gt;Inputs!$D$65+Inputs!$D$67,8&lt;=Inputs!$D$65+Inputs!$D$66,Inputs!$D$66&gt;Inputs!$D$67),Inputs!$C$18*(Inputs!$D$74+Inputs!$D$75)/MAX(Inputs!$D$66-Inputs!$D$67,1),0)+IF(8=Inputs!$D$65+Inputs!$D$66+Inputs!$D$77,Inputs!$C$18*Inputs!$D$76,0)</f>
        <v>0</v>
      </c>
      <c r="P55">
        <f>IF(AND(9&gt;Inputs!$D$65+Inputs!$D$67,9&lt;=Inputs!$D$65+Inputs!$D$66,Inputs!$D$66&gt;Inputs!$D$67),Inputs!$C$18*(Inputs!$D$74+Inputs!$D$75)/MAX(Inputs!$D$66-Inputs!$D$67,1),0)+IF(9=Inputs!$D$65+Inputs!$D$66+Inputs!$D$77,Inputs!$C$18*Inputs!$D$76,0)</f>
        <v>0</v>
      </c>
      <c r="Q55">
        <f>IF(AND(10&gt;Inputs!$D$65+Inputs!$D$67,10&lt;=Inputs!$D$65+Inputs!$D$66,Inputs!$D$66&gt;Inputs!$D$67),Inputs!$C$18*(Inputs!$D$74+Inputs!$D$75)/MAX(Inputs!$D$66-Inputs!$D$67,1),0)+IF(10=Inputs!$D$65+Inputs!$D$66+Inputs!$D$77,Inputs!$C$18*Inputs!$D$76,0)</f>
        <v>0</v>
      </c>
      <c r="R55">
        <f>IF(AND(11&gt;Inputs!$D$65+Inputs!$D$67,11&lt;=Inputs!$D$65+Inputs!$D$66,Inputs!$D$66&gt;Inputs!$D$67),Inputs!$C$18*(Inputs!$D$74+Inputs!$D$75)/MAX(Inputs!$D$66-Inputs!$D$67,1),0)+IF(11=Inputs!$D$65+Inputs!$D$66+Inputs!$D$77,Inputs!$C$18*Inputs!$D$76,0)</f>
        <v>0</v>
      </c>
      <c r="S55">
        <f>IF(AND(12&gt;Inputs!$D$65+Inputs!$D$67,12&lt;=Inputs!$D$65+Inputs!$D$66,Inputs!$D$66&gt;Inputs!$D$67),Inputs!$C$18*(Inputs!$D$74+Inputs!$D$75)/MAX(Inputs!$D$66-Inputs!$D$67,1),0)+IF(12=Inputs!$D$65+Inputs!$D$66+Inputs!$D$77,Inputs!$C$18*Inputs!$D$76,0)</f>
        <v>0</v>
      </c>
      <c r="T55">
        <f>IF(AND(13&gt;Inputs!$D$65+Inputs!$D$67,13&lt;=Inputs!$D$65+Inputs!$D$66,Inputs!$D$66&gt;Inputs!$D$67),Inputs!$C$18*(Inputs!$D$74+Inputs!$D$75)/MAX(Inputs!$D$66-Inputs!$D$67,1),0)+IF(13=Inputs!$D$65+Inputs!$D$66+Inputs!$D$77,Inputs!$C$18*Inputs!$D$76,0)</f>
        <v>0</v>
      </c>
      <c r="U55">
        <f>IF(AND(14&gt;Inputs!$D$65+Inputs!$D$67,14&lt;=Inputs!$D$65+Inputs!$D$66,Inputs!$D$66&gt;Inputs!$D$67),Inputs!$C$18*(Inputs!$D$74+Inputs!$D$75)/MAX(Inputs!$D$66-Inputs!$D$67,1),0)+IF(14=Inputs!$D$65+Inputs!$D$66+Inputs!$D$77,Inputs!$C$18*Inputs!$D$76,0)</f>
        <v>0</v>
      </c>
      <c r="V55">
        <f>IF(AND(15&gt;Inputs!$D$65+Inputs!$D$67,15&lt;=Inputs!$D$65+Inputs!$D$66,Inputs!$D$66&gt;Inputs!$D$67),Inputs!$C$18*(Inputs!$D$74+Inputs!$D$75)/MAX(Inputs!$D$66-Inputs!$D$67,1),0)+IF(15=Inputs!$D$65+Inputs!$D$66+Inputs!$D$77,Inputs!$C$18*Inputs!$D$76,0)</f>
        <v>0</v>
      </c>
      <c r="W55">
        <f>IF(AND(16&gt;Inputs!$D$65+Inputs!$D$67,16&lt;=Inputs!$D$65+Inputs!$D$66,Inputs!$D$66&gt;Inputs!$D$67),Inputs!$C$18*(Inputs!$D$74+Inputs!$D$75)/MAX(Inputs!$D$66-Inputs!$D$67,1),0)+IF(16=Inputs!$D$65+Inputs!$D$66+Inputs!$D$77,Inputs!$C$18*Inputs!$D$76,0)</f>
        <v>0</v>
      </c>
      <c r="X55">
        <f>IF(AND(17&gt;Inputs!$D$65+Inputs!$D$67,17&lt;=Inputs!$D$65+Inputs!$D$66,Inputs!$D$66&gt;Inputs!$D$67),Inputs!$C$18*(Inputs!$D$74+Inputs!$D$75)/MAX(Inputs!$D$66-Inputs!$D$67,1),0)+IF(17=Inputs!$D$65+Inputs!$D$66+Inputs!$D$77,Inputs!$C$18*Inputs!$D$76,0)</f>
        <v>0</v>
      </c>
      <c r="Y55">
        <f>IF(AND(18&gt;Inputs!$D$65+Inputs!$D$67,18&lt;=Inputs!$D$65+Inputs!$D$66,Inputs!$D$66&gt;Inputs!$D$67),Inputs!$C$18*(Inputs!$D$74+Inputs!$D$75)/MAX(Inputs!$D$66-Inputs!$D$67,1),0)+IF(18=Inputs!$D$65+Inputs!$D$66+Inputs!$D$77,Inputs!$C$18*Inputs!$D$76,0)</f>
        <v>0</v>
      </c>
      <c r="Z55">
        <f>IF(AND(19&gt;Inputs!$D$65+Inputs!$D$67,19&lt;=Inputs!$D$65+Inputs!$D$66,Inputs!$D$66&gt;Inputs!$D$67),Inputs!$C$18*(Inputs!$D$74+Inputs!$D$75)/MAX(Inputs!$D$66-Inputs!$D$67,1),0)+IF(19=Inputs!$D$65+Inputs!$D$66+Inputs!$D$77,Inputs!$C$18*Inputs!$D$76,0)</f>
        <v>0</v>
      </c>
      <c r="AA55">
        <f>IF(AND(20&gt;Inputs!$D$65+Inputs!$D$67,20&lt;=Inputs!$D$65+Inputs!$D$66,Inputs!$D$66&gt;Inputs!$D$67),Inputs!$C$18*(Inputs!$D$74+Inputs!$D$75)/MAX(Inputs!$D$66-Inputs!$D$67,1),0)+IF(20=Inputs!$D$65+Inputs!$D$66+Inputs!$D$77,Inputs!$C$18*Inputs!$D$76,0)</f>
        <v>0</v>
      </c>
      <c r="AB55">
        <f>IF(AND(21&gt;Inputs!$D$65+Inputs!$D$67,21&lt;=Inputs!$D$65+Inputs!$D$66,Inputs!$D$66&gt;Inputs!$D$67),Inputs!$C$18*(Inputs!$D$74+Inputs!$D$75)/MAX(Inputs!$D$66-Inputs!$D$67,1),0)+IF(21=Inputs!$D$65+Inputs!$D$66+Inputs!$D$77,Inputs!$C$18*Inputs!$D$76,0)</f>
        <v>0</v>
      </c>
      <c r="AC55">
        <f>IF(AND(22&gt;Inputs!$D$65+Inputs!$D$67,22&lt;=Inputs!$D$65+Inputs!$D$66,Inputs!$D$66&gt;Inputs!$D$67),Inputs!$C$18*(Inputs!$D$74+Inputs!$D$75)/MAX(Inputs!$D$66-Inputs!$D$67,1),0)+IF(22=Inputs!$D$65+Inputs!$D$66+Inputs!$D$77,Inputs!$C$18*Inputs!$D$76,0)</f>
        <v>0</v>
      </c>
      <c r="AD55">
        <f>IF(AND(23&gt;Inputs!$D$65+Inputs!$D$67,23&lt;=Inputs!$D$65+Inputs!$D$66,Inputs!$D$66&gt;Inputs!$D$67),Inputs!$C$18*(Inputs!$D$74+Inputs!$D$75)/MAX(Inputs!$D$66-Inputs!$D$67,1),0)+IF(23=Inputs!$D$65+Inputs!$D$66+Inputs!$D$77,Inputs!$C$18*Inputs!$D$76,0)</f>
        <v>0</v>
      </c>
      <c r="AE55">
        <f>IF(AND(24&gt;Inputs!$D$65+Inputs!$D$67,24&lt;=Inputs!$D$65+Inputs!$D$66,Inputs!$D$66&gt;Inputs!$D$67),Inputs!$C$18*(Inputs!$D$74+Inputs!$D$75)/MAX(Inputs!$D$66-Inputs!$D$67,1),0)+IF(24=Inputs!$D$65+Inputs!$D$66+Inputs!$D$77,Inputs!$C$18*Inputs!$D$76,0)</f>
        <v>0</v>
      </c>
      <c r="AF55">
        <f>IF(AND(25&gt;Inputs!$D$65+Inputs!$D$67,25&lt;=Inputs!$D$65+Inputs!$D$66,Inputs!$D$66&gt;Inputs!$D$67),Inputs!$C$18*(Inputs!$D$74+Inputs!$D$75)/MAX(Inputs!$D$66-Inputs!$D$67,1),0)+IF(25=Inputs!$D$65+Inputs!$D$66+Inputs!$D$77,Inputs!$C$18*Inputs!$D$76,0)</f>
        <v>0</v>
      </c>
      <c r="AG55">
        <f>IF(AND(26&gt;Inputs!$D$65+Inputs!$D$67,26&lt;=Inputs!$D$65+Inputs!$D$66,Inputs!$D$66&gt;Inputs!$D$67),Inputs!$C$18*(Inputs!$D$74+Inputs!$D$75)/MAX(Inputs!$D$66-Inputs!$D$67,1),0)+IF(26=Inputs!$D$65+Inputs!$D$66+Inputs!$D$77,Inputs!$C$18*Inputs!$D$76,0)</f>
        <v>0</v>
      </c>
      <c r="AH55">
        <f>IF(AND(27&gt;Inputs!$D$65+Inputs!$D$67,27&lt;=Inputs!$D$65+Inputs!$D$66,Inputs!$D$66&gt;Inputs!$D$67),Inputs!$C$18*(Inputs!$D$74+Inputs!$D$75)/MAX(Inputs!$D$66-Inputs!$D$67,1),0)+IF(27=Inputs!$D$65+Inputs!$D$66+Inputs!$D$77,Inputs!$C$18*Inputs!$D$76,0)</f>
        <v>0</v>
      </c>
      <c r="AI55">
        <f>IF(AND(28&gt;Inputs!$D$65+Inputs!$D$67,28&lt;=Inputs!$D$65+Inputs!$D$66,Inputs!$D$66&gt;Inputs!$D$67),Inputs!$C$18*(Inputs!$D$74+Inputs!$D$75)/MAX(Inputs!$D$66-Inputs!$D$67,1),0)+IF(28=Inputs!$D$65+Inputs!$D$66+Inputs!$D$77,Inputs!$C$18*Inputs!$D$76,0)</f>
        <v>0</v>
      </c>
      <c r="AJ55">
        <f>IF(AND(29&gt;Inputs!$D$65+Inputs!$D$67,29&lt;=Inputs!$D$65+Inputs!$D$66,Inputs!$D$66&gt;Inputs!$D$67),Inputs!$C$18*(Inputs!$D$74+Inputs!$D$75)/MAX(Inputs!$D$66-Inputs!$D$67,1),0)+IF(29=Inputs!$D$65+Inputs!$D$66+Inputs!$D$77,Inputs!$C$18*Inputs!$D$76,0)</f>
        <v>0</v>
      </c>
      <c r="AK55">
        <f>IF(AND(30&gt;Inputs!$D$65+Inputs!$D$67,30&lt;=Inputs!$D$65+Inputs!$D$66,Inputs!$D$66&gt;Inputs!$D$67),Inputs!$C$18*(Inputs!$D$74+Inputs!$D$75)/MAX(Inputs!$D$66-Inputs!$D$67,1),0)+IF(30=Inputs!$D$65+Inputs!$D$66+Inputs!$D$77,Inputs!$C$18*Inputs!$D$76,0)</f>
        <v>0</v>
      </c>
      <c r="AL55">
        <f>IF(AND(31&gt;Inputs!$D$65+Inputs!$D$67,31&lt;=Inputs!$D$65+Inputs!$D$66,Inputs!$D$66&gt;Inputs!$D$67),Inputs!$C$18*(Inputs!$D$74+Inputs!$D$75)/MAX(Inputs!$D$66-Inputs!$D$67,1),0)+IF(31=Inputs!$D$65+Inputs!$D$66+Inputs!$D$77,Inputs!$C$18*Inputs!$D$76,0)</f>
        <v>0</v>
      </c>
      <c r="AM55">
        <f>IF(AND(32&gt;Inputs!$D$65+Inputs!$D$67,32&lt;=Inputs!$D$65+Inputs!$D$66,Inputs!$D$66&gt;Inputs!$D$67),Inputs!$C$18*(Inputs!$D$74+Inputs!$D$75)/MAX(Inputs!$D$66-Inputs!$D$67,1),0)+IF(32=Inputs!$D$65+Inputs!$D$66+Inputs!$D$77,Inputs!$C$18*Inputs!$D$76,0)</f>
        <v>0</v>
      </c>
      <c r="AN55">
        <f>IF(AND(33&gt;Inputs!$D$65+Inputs!$D$67,33&lt;=Inputs!$D$65+Inputs!$D$66,Inputs!$D$66&gt;Inputs!$D$67),Inputs!$C$18*(Inputs!$D$74+Inputs!$D$75)/MAX(Inputs!$D$66-Inputs!$D$67,1),0)+IF(33=Inputs!$D$65+Inputs!$D$66+Inputs!$D$77,Inputs!$C$18*Inputs!$D$76,0)</f>
        <v>0</v>
      </c>
      <c r="AO55">
        <f>IF(AND(34&gt;Inputs!$D$65+Inputs!$D$67,34&lt;=Inputs!$D$65+Inputs!$D$66,Inputs!$D$66&gt;Inputs!$D$67),Inputs!$C$18*(Inputs!$D$74+Inputs!$D$75)/MAX(Inputs!$D$66-Inputs!$D$67,1),0)+IF(34=Inputs!$D$65+Inputs!$D$66+Inputs!$D$77,Inputs!$C$18*Inputs!$D$76,0)</f>
        <v>0</v>
      </c>
      <c r="AP55">
        <f>IF(AND(35&gt;Inputs!$D$65+Inputs!$D$67,35&lt;=Inputs!$D$65+Inputs!$D$66,Inputs!$D$66&gt;Inputs!$D$67),Inputs!$C$18*(Inputs!$D$74+Inputs!$D$75)/MAX(Inputs!$D$66-Inputs!$D$67,1),0)+IF(35=Inputs!$D$65+Inputs!$D$66+Inputs!$D$77,Inputs!$C$18*Inputs!$D$76,0)</f>
        <v>0</v>
      </c>
      <c r="AQ55">
        <f>IF(AND(36&gt;Inputs!$D$65+Inputs!$D$67,36&lt;=Inputs!$D$65+Inputs!$D$66,Inputs!$D$66&gt;Inputs!$D$67),Inputs!$C$18*(Inputs!$D$74+Inputs!$D$75)/MAX(Inputs!$D$66-Inputs!$D$67,1),0)+IF(36=Inputs!$D$65+Inputs!$D$66+Inputs!$D$77,Inputs!$C$18*Inputs!$D$76,0)</f>
        <v>0</v>
      </c>
      <c r="AR55">
        <f>IF(AND(37&gt;Inputs!$D$65+Inputs!$D$67,37&lt;=Inputs!$D$65+Inputs!$D$66,Inputs!$D$66&gt;Inputs!$D$67),Inputs!$C$18*(Inputs!$D$74+Inputs!$D$75)/MAX(Inputs!$D$66-Inputs!$D$67,1),0)+IF(37=Inputs!$D$65+Inputs!$D$66+Inputs!$D$77,Inputs!$C$18*Inputs!$D$76,0)</f>
        <v>0</v>
      </c>
      <c r="AS55">
        <f>IF(AND(38&gt;Inputs!$D$65+Inputs!$D$67,38&lt;=Inputs!$D$65+Inputs!$D$66,Inputs!$D$66&gt;Inputs!$D$67),Inputs!$C$18*(Inputs!$D$74+Inputs!$D$75)/MAX(Inputs!$D$66-Inputs!$D$67,1),0)+IF(38=Inputs!$D$65+Inputs!$D$66+Inputs!$D$77,Inputs!$C$18*Inputs!$D$76,0)</f>
        <v>0</v>
      </c>
      <c r="AT55">
        <f>IF(AND(39&gt;Inputs!$D$65+Inputs!$D$67,39&lt;=Inputs!$D$65+Inputs!$D$66,Inputs!$D$66&gt;Inputs!$D$67),Inputs!$C$18*(Inputs!$D$74+Inputs!$D$75)/MAX(Inputs!$D$66-Inputs!$D$67,1),0)+IF(39=Inputs!$D$65+Inputs!$D$66+Inputs!$D$77,Inputs!$C$18*Inputs!$D$76,0)</f>
        <v>0</v>
      </c>
      <c r="AU55">
        <f>IF(AND(40&gt;Inputs!$D$65+Inputs!$D$67,40&lt;=Inputs!$D$65+Inputs!$D$66,Inputs!$D$66&gt;Inputs!$D$67),Inputs!$C$18*(Inputs!$D$74+Inputs!$D$75)/MAX(Inputs!$D$66-Inputs!$D$67,1),0)+IF(40=Inputs!$D$65+Inputs!$D$66+Inputs!$D$77,Inputs!$C$18*Inputs!$D$76,0)</f>
        <v>0</v>
      </c>
      <c r="AV55">
        <f>IF(AND(41&gt;Inputs!$D$65+Inputs!$D$67,41&lt;=Inputs!$D$65+Inputs!$D$66,Inputs!$D$66&gt;Inputs!$D$67),Inputs!$C$18*(Inputs!$D$74+Inputs!$D$75)/MAX(Inputs!$D$66-Inputs!$D$67,1),0)+IF(41=Inputs!$D$65+Inputs!$D$66+Inputs!$D$77,Inputs!$C$18*Inputs!$D$76,0)</f>
        <v>0</v>
      </c>
      <c r="AW55">
        <f>IF(AND(42&gt;Inputs!$D$65+Inputs!$D$67,42&lt;=Inputs!$D$65+Inputs!$D$66,Inputs!$D$66&gt;Inputs!$D$67),Inputs!$C$18*(Inputs!$D$74+Inputs!$D$75)/MAX(Inputs!$D$66-Inputs!$D$67,1),0)+IF(42=Inputs!$D$65+Inputs!$D$66+Inputs!$D$77,Inputs!$C$18*Inputs!$D$76,0)</f>
        <v>0</v>
      </c>
      <c r="AX55">
        <f>IF(AND(43&gt;Inputs!$D$65+Inputs!$D$67,43&lt;=Inputs!$D$65+Inputs!$D$66,Inputs!$D$66&gt;Inputs!$D$67),Inputs!$C$18*(Inputs!$D$74+Inputs!$D$75)/MAX(Inputs!$D$66-Inputs!$D$67,1),0)+IF(43=Inputs!$D$65+Inputs!$D$66+Inputs!$D$77,Inputs!$C$18*Inputs!$D$76,0)</f>
        <v>0</v>
      </c>
      <c r="AY55">
        <f>IF(AND(44&gt;Inputs!$D$65+Inputs!$D$67,44&lt;=Inputs!$D$65+Inputs!$D$66,Inputs!$D$66&gt;Inputs!$D$67),Inputs!$C$18*(Inputs!$D$74+Inputs!$D$75)/MAX(Inputs!$D$66-Inputs!$D$67,1),0)+IF(44=Inputs!$D$65+Inputs!$D$66+Inputs!$D$77,Inputs!$C$18*Inputs!$D$76,0)</f>
        <v>0</v>
      </c>
      <c r="AZ55">
        <f>IF(AND(45&gt;Inputs!$D$65+Inputs!$D$67,45&lt;=Inputs!$D$65+Inputs!$D$66,Inputs!$D$66&gt;Inputs!$D$67),Inputs!$C$18*(Inputs!$D$74+Inputs!$D$75)/MAX(Inputs!$D$66-Inputs!$D$67,1),0)+IF(45=Inputs!$D$65+Inputs!$D$66+Inputs!$D$77,Inputs!$C$18*Inputs!$D$76,0)</f>
        <v>0</v>
      </c>
      <c r="BA55">
        <f>IF(AND(46&gt;Inputs!$D$65+Inputs!$D$67,46&lt;=Inputs!$D$65+Inputs!$D$66,Inputs!$D$66&gt;Inputs!$D$67),Inputs!$C$18*(Inputs!$D$74+Inputs!$D$75)/MAX(Inputs!$D$66-Inputs!$D$67,1),0)+IF(46=Inputs!$D$65+Inputs!$D$66+Inputs!$D$77,Inputs!$C$18*Inputs!$D$76,0)</f>
        <v>0</v>
      </c>
      <c r="BB55">
        <f>IF(AND(47&gt;Inputs!$D$65+Inputs!$D$67,47&lt;=Inputs!$D$65+Inputs!$D$66,Inputs!$D$66&gt;Inputs!$D$67),Inputs!$C$18*(Inputs!$D$74+Inputs!$D$75)/MAX(Inputs!$D$66-Inputs!$D$67,1),0)+IF(47=Inputs!$D$65+Inputs!$D$66+Inputs!$D$77,Inputs!$C$18*Inputs!$D$76,0)</f>
        <v>0</v>
      </c>
      <c r="BC55">
        <f>IF(AND(48&gt;Inputs!$D$65+Inputs!$D$67,48&lt;=Inputs!$D$65+Inputs!$D$66,Inputs!$D$66&gt;Inputs!$D$67),Inputs!$C$18*(Inputs!$D$74+Inputs!$D$75)/MAX(Inputs!$D$66-Inputs!$D$67,1),0)+IF(48=Inputs!$D$65+Inputs!$D$66+Inputs!$D$77,Inputs!$C$18*Inputs!$D$76,0)</f>
        <v>0</v>
      </c>
      <c r="BD55">
        <f>IF(AND(49&gt;Inputs!$D$65+Inputs!$D$67,49&lt;=Inputs!$D$65+Inputs!$D$66,Inputs!$D$66&gt;Inputs!$D$67),Inputs!$C$18*(Inputs!$D$74+Inputs!$D$75)/MAX(Inputs!$D$66-Inputs!$D$67,1),0)+IF(49=Inputs!$D$65+Inputs!$D$66+Inputs!$D$77,Inputs!$C$18*Inputs!$D$76,0)</f>
        <v>0</v>
      </c>
      <c r="BE55">
        <f>IF(AND(50&gt;Inputs!$D$65+Inputs!$D$67,50&lt;=Inputs!$D$65+Inputs!$D$66,Inputs!$D$66&gt;Inputs!$D$67),Inputs!$C$18*(Inputs!$D$74+Inputs!$D$75)/MAX(Inputs!$D$66-Inputs!$D$67,1),0)+IF(50=Inputs!$D$65+Inputs!$D$66+Inputs!$D$77,Inputs!$C$18*Inputs!$D$76,0)</f>
        <v>0</v>
      </c>
      <c r="BF55">
        <f>IF(AND(51&gt;Inputs!$D$65+Inputs!$D$67,51&lt;=Inputs!$D$65+Inputs!$D$66,Inputs!$D$66&gt;Inputs!$D$67),Inputs!$C$18*(Inputs!$D$74+Inputs!$D$75)/MAX(Inputs!$D$66-Inputs!$D$67,1),0)+IF(51=Inputs!$D$65+Inputs!$D$66+Inputs!$D$77,Inputs!$C$18*Inputs!$D$76,0)</f>
        <v>0</v>
      </c>
      <c r="BG55">
        <f>IF(AND(52&gt;Inputs!$D$65+Inputs!$D$67,52&lt;=Inputs!$D$65+Inputs!$D$66,Inputs!$D$66&gt;Inputs!$D$67),Inputs!$C$18*(Inputs!$D$74+Inputs!$D$75)/MAX(Inputs!$D$66-Inputs!$D$67,1),0)+IF(52=Inputs!$D$65+Inputs!$D$66+Inputs!$D$77,Inputs!$C$18*Inputs!$D$76,0)</f>
        <v>0</v>
      </c>
      <c r="BH55">
        <f>IF(AND(53&gt;Inputs!$D$65+Inputs!$D$67,53&lt;=Inputs!$D$65+Inputs!$D$66,Inputs!$D$66&gt;Inputs!$D$67),Inputs!$C$18*(Inputs!$D$74+Inputs!$D$75)/MAX(Inputs!$D$66-Inputs!$D$67,1),0)+IF(53=Inputs!$D$65+Inputs!$D$66+Inputs!$D$77,Inputs!$C$18*Inputs!$D$76,0)</f>
        <v>0</v>
      </c>
      <c r="BI55">
        <f>IF(AND(54&gt;Inputs!$D$65+Inputs!$D$67,54&lt;=Inputs!$D$65+Inputs!$D$66,Inputs!$D$66&gt;Inputs!$D$67),Inputs!$C$18*(Inputs!$D$74+Inputs!$D$75)/MAX(Inputs!$D$66-Inputs!$D$67,1),0)+IF(54=Inputs!$D$65+Inputs!$D$66+Inputs!$D$77,Inputs!$C$18*Inputs!$D$76,0)</f>
        <v>0</v>
      </c>
      <c r="BJ55">
        <f>IF(AND(55&gt;Inputs!$D$65+Inputs!$D$67,55&lt;=Inputs!$D$65+Inputs!$D$66,Inputs!$D$66&gt;Inputs!$D$67),Inputs!$C$18*(Inputs!$D$74+Inputs!$D$75)/MAX(Inputs!$D$66-Inputs!$D$67,1),0)+IF(55=Inputs!$D$65+Inputs!$D$66+Inputs!$D$77,Inputs!$C$18*Inputs!$D$76,0)</f>
        <v>0</v>
      </c>
      <c r="BK55">
        <f>IF(AND(56&gt;Inputs!$D$65+Inputs!$D$67,56&lt;=Inputs!$D$65+Inputs!$D$66,Inputs!$D$66&gt;Inputs!$D$67),Inputs!$C$18*(Inputs!$D$74+Inputs!$D$75)/MAX(Inputs!$D$66-Inputs!$D$67,1),0)+IF(56=Inputs!$D$65+Inputs!$D$66+Inputs!$D$77,Inputs!$C$18*Inputs!$D$76,0)</f>
        <v>0</v>
      </c>
      <c r="BL55">
        <f>IF(AND(57&gt;Inputs!$D$65+Inputs!$D$67,57&lt;=Inputs!$D$65+Inputs!$D$66,Inputs!$D$66&gt;Inputs!$D$67),Inputs!$C$18*(Inputs!$D$74+Inputs!$D$75)/MAX(Inputs!$D$66-Inputs!$D$67,1),0)+IF(57=Inputs!$D$65+Inputs!$D$66+Inputs!$D$77,Inputs!$C$18*Inputs!$D$76,0)</f>
        <v>0</v>
      </c>
      <c r="BM55">
        <f>IF(AND(58&gt;Inputs!$D$65+Inputs!$D$67,58&lt;=Inputs!$D$65+Inputs!$D$66,Inputs!$D$66&gt;Inputs!$D$67),Inputs!$C$18*(Inputs!$D$74+Inputs!$D$75)/MAX(Inputs!$D$66-Inputs!$D$67,1),0)+IF(58=Inputs!$D$65+Inputs!$D$66+Inputs!$D$77,Inputs!$C$18*Inputs!$D$76,0)</f>
        <v>0</v>
      </c>
      <c r="BN55">
        <f>IF(AND(59&gt;Inputs!$D$65+Inputs!$D$67,59&lt;=Inputs!$D$65+Inputs!$D$66,Inputs!$D$66&gt;Inputs!$D$67),Inputs!$C$18*(Inputs!$D$74+Inputs!$D$75)/MAX(Inputs!$D$66-Inputs!$D$67,1),0)+IF(59=Inputs!$D$65+Inputs!$D$66+Inputs!$D$77,Inputs!$C$18*Inputs!$D$76,0)</f>
        <v>0</v>
      </c>
      <c r="BO55">
        <f>IF(AND(60&gt;Inputs!$D$65+Inputs!$D$67,60&lt;=Inputs!$D$65+Inputs!$D$66,Inputs!$D$66&gt;Inputs!$D$67),Inputs!$C$18*(Inputs!$D$74+Inputs!$D$75)/MAX(Inputs!$D$66-Inputs!$D$67,1),0)+IF(60=Inputs!$D$65+Inputs!$D$66+Inputs!$D$77,Inputs!$C$18*Inputs!$D$76,0)</f>
        <v>0</v>
      </c>
    </row>
    <row r="66">
      <c r="C66" t="str">
        <v>max</v>
      </c>
    </row>
    <row r="67">
      <c r="B67" t="str">
        <v>LTC</v>
      </c>
    </row>
    <row r="68">
      <c r="B68" t="str">
        <v>LTV</v>
      </c>
    </row>
    <row r="69">
      <c r="B69" t="str">
        <v>LOAN MECHANICS</v>
      </c>
    </row>
    <row r="72">
      <c r="B72" t="str">
        <v>Opening fee (capitalized)</v>
      </c>
      <c r="C72">
        <f>SUM(H72:BO72)</f>
        <v>0</v>
      </c>
      <c r="H72">
        <f>IF(1=1,Inputs!$D$55*Inputs!$D$58,0)</f>
        <v>0</v>
      </c>
      <c r="I72">
        <f>IF(2=1,Inputs!$D$55*Inputs!$D$58,0)</f>
        <v>0</v>
      </c>
      <c r="J72">
        <f>IF(3=1,Inputs!$D$55*Inputs!$D$58,0)</f>
        <v>0</v>
      </c>
      <c r="K72">
        <f>IF(4=1,Inputs!$D$55*Inputs!$D$58,0)</f>
        <v>0</v>
      </c>
      <c r="L72">
        <f>IF(5=1,Inputs!$D$55*Inputs!$D$58,0)</f>
        <v>0</v>
      </c>
      <c r="M72">
        <f>IF(6=1,Inputs!$D$55*Inputs!$D$58,0)</f>
        <v>0</v>
      </c>
      <c r="N72">
        <f>IF(7=1,Inputs!$D$55*Inputs!$D$58,0)</f>
        <v>0</v>
      </c>
      <c r="O72">
        <f>IF(8=1,Inputs!$D$55*Inputs!$D$58,0)</f>
        <v>0</v>
      </c>
      <c r="P72">
        <f>IF(9=1,Inputs!$D$55*Inputs!$D$58,0)</f>
        <v>0</v>
      </c>
      <c r="Q72">
        <f>IF(10=1,Inputs!$D$55*Inputs!$D$58,0)</f>
        <v>0</v>
      </c>
      <c r="R72">
        <f>IF(11=1,Inputs!$D$55*Inputs!$D$58,0)</f>
        <v>0</v>
      </c>
      <c r="S72">
        <f>IF(12=1,Inputs!$D$55*Inputs!$D$58,0)</f>
        <v>0</v>
      </c>
      <c r="T72">
        <f>IF(13=1,Inputs!$D$55*Inputs!$D$58,0)</f>
        <v>0</v>
      </c>
      <c r="U72">
        <f>IF(14=1,Inputs!$D$55*Inputs!$D$58,0)</f>
        <v>0</v>
      </c>
      <c r="V72">
        <f>IF(15=1,Inputs!$D$55*Inputs!$D$58,0)</f>
        <v>0</v>
      </c>
      <c r="W72">
        <f>IF(16=1,Inputs!$D$55*Inputs!$D$58,0)</f>
        <v>0</v>
      </c>
      <c r="X72">
        <f>IF(17=1,Inputs!$D$55*Inputs!$D$58,0)</f>
        <v>0</v>
      </c>
      <c r="Y72">
        <f>IF(18=1,Inputs!$D$55*Inputs!$D$58,0)</f>
        <v>0</v>
      </c>
      <c r="Z72">
        <f>IF(19=1,Inputs!$D$55*Inputs!$D$58,0)</f>
        <v>0</v>
      </c>
      <c r="AA72">
        <f>IF(20=1,Inputs!$D$55*Inputs!$D$58,0)</f>
        <v>0</v>
      </c>
      <c r="AB72">
        <f>IF(21=1,Inputs!$D$55*Inputs!$D$58,0)</f>
        <v>0</v>
      </c>
      <c r="AC72">
        <f>IF(22=1,Inputs!$D$55*Inputs!$D$58,0)</f>
        <v>0</v>
      </c>
      <c r="AD72">
        <f>IF(23=1,Inputs!$D$55*Inputs!$D$58,0)</f>
        <v>0</v>
      </c>
      <c r="AE72">
        <f>IF(24=1,Inputs!$D$55*Inputs!$D$58,0)</f>
        <v>0</v>
      </c>
      <c r="AF72">
        <f>IF(25=1,Inputs!$D$55*Inputs!$D$58,0)</f>
        <v>0</v>
      </c>
      <c r="AG72">
        <f>IF(26=1,Inputs!$D$55*Inputs!$D$58,0)</f>
        <v>0</v>
      </c>
      <c r="AH72">
        <f>IF(27=1,Inputs!$D$55*Inputs!$D$58,0)</f>
        <v>0</v>
      </c>
      <c r="AI72">
        <f>IF(28=1,Inputs!$D$55*Inputs!$D$58,0)</f>
        <v>0</v>
      </c>
      <c r="AJ72">
        <f>IF(29=1,Inputs!$D$55*Inputs!$D$58,0)</f>
        <v>0</v>
      </c>
      <c r="AK72">
        <f>IF(30=1,Inputs!$D$55*Inputs!$D$58,0)</f>
        <v>0</v>
      </c>
      <c r="AL72">
        <f>IF(31=1,Inputs!$D$55*Inputs!$D$58,0)</f>
        <v>0</v>
      </c>
      <c r="AM72">
        <f>IF(32=1,Inputs!$D$55*Inputs!$D$58,0)</f>
        <v>0</v>
      </c>
      <c r="AN72">
        <f>IF(33=1,Inputs!$D$55*Inputs!$D$58,0)</f>
        <v>0</v>
      </c>
      <c r="AO72">
        <f>IF(34=1,Inputs!$D$55*Inputs!$D$58,0)</f>
        <v>0</v>
      </c>
      <c r="AP72">
        <f>IF(35=1,Inputs!$D$55*Inputs!$D$58,0)</f>
        <v>0</v>
      </c>
      <c r="AQ72">
        <f>IF(36=1,Inputs!$D$55*Inputs!$D$58,0)</f>
        <v>0</v>
      </c>
      <c r="AR72">
        <f>IF(37=1,Inputs!$D$55*Inputs!$D$58,0)</f>
        <v>0</v>
      </c>
      <c r="AS72">
        <f>IF(38=1,Inputs!$D$55*Inputs!$D$58,0)</f>
        <v>0</v>
      </c>
      <c r="AT72">
        <f>IF(39=1,Inputs!$D$55*Inputs!$D$58,0)</f>
        <v>0</v>
      </c>
      <c r="AU72">
        <f>IF(40=1,Inputs!$D$55*Inputs!$D$58,0)</f>
        <v>0</v>
      </c>
      <c r="AV72">
        <f>IF(41=1,Inputs!$D$55*Inputs!$D$58,0)</f>
        <v>0</v>
      </c>
      <c r="AW72">
        <f>IF(42=1,Inputs!$D$55*Inputs!$D$58,0)</f>
        <v>0</v>
      </c>
      <c r="AX72">
        <f>IF(43=1,Inputs!$D$55*Inputs!$D$58,0)</f>
        <v>0</v>
      </c>
      <c r="AY72">
        <f>IF(44=1,Inputs!$D$55*Inputs!$D$58,0)</f>
        <v>0</v>
      </c>
      <c r="AZ72">
        <f>IF(45=1,Inputs!$D$55*Inputs!$D$58,0)</f>
        <v>0</v>
      </c>
      <c r="BA72">
        <f>IF(46=1,Inputs!$D$55*Inputs!$D$58,0)</f>
        <v>0</v>
      </c>
      <c r="BB72">
        <f>IF(47=1,Inputs!$D$55*Inputs!$D$58,0)</f>
        <v>0</v>
      </c>
      <c r="BC72">
        <f>IF(48=1,Inputs!$D$55*Inputs!$D$58,0)</f>
        <v>0</v>
      </c>
      <c r="BD72">
        <f>IF(49=1,Inputs!$D$55*Inputs!$D$58,0)</f>
        <v>0</v>
      </c>
      <c r="BE72">
        <f>IF(50=1,Inputs!$D$55*Inputs!$D$58,0)</f>
        <v>0</v>
      </c>
      <c r="BF72">
        <f>IF(51=1,Inputs!$D$55*Inputs!$D$58,0)</f>
        <v>0</v>
      </c>
      <c r="BG72">
        <f>IF(52=1,Inputs!$D$55*Inputs!$D$58,0)</f>
        <v>0</v>
      </c>
      <c r="BH72">
        <f>IF(53=1,Inputs!$D$55*Inputs!$D$58,0)</f>
        <v>0</v>
      </c>
      <c r="BI72">
        <f>IF(54=1,Inputs!$D$55*Inputs!$D$58,0)</f>
        <v>0</v>
      </c>
      <c r="BJ72">
        <f>IF(55=1,Inputs!$D$55*Inputs!$D$58,0)</f>
        <v>0</v>
      </c>
      <c r="BK72">
        <f>IF(56=1,Inputs!$D$55*Inputs!$D$58,0)</f>
        <v>0</v>
      </c>
      <c r="BL72">
        <f>IF(57=1,Inputs!$D$55*Inputs!$D$58,0)</f>
        <v>0</v>
      </c>
      <c r="BM72">
        <f>IF(58=1,Inputs!$D$55*Inputs!$D$58,0)</f>
        <v>0</v>
      </c>
      <c r="BN72">
        <f>IF(59=1,Inputs!$D$55*Inputs!$D$58,0)</f>
        <v>0</v>
      </c>
      <c r="BO72">
        <f>IF(60=1,Inputs!$D$55*Inputs!$D$58,0)</f>
        <v>0</v>
      </c>
    </row>
    <row r="73">
      <c r="B73" t="str">
        <v>Loan drawdowns (to lender's usage)</v>
      </c>
      <c r="C73">
        <f>SUM(H73:BO73)</f>
        <v>0</v>
      </c>
      <c r="H73">
        <f>IFERROR(H51*MIN(1,Inputs!$D$55/C51),0)</f>
        <v>0</v>
      </c>
      <c r="I73">
        <f>IFERROR(I51*MIN(1,Inputs!$D$55/C51),0)</f>
        <v>0</v>
      </c>
      <c r="J73">
        <f>IFERROR(J51*MIN(1,Inputs!$D$55/C51),0)</f>
        <v>0</v>
      </c>
      <c r="K73">
        <f>IFERROR(K51*MIN(1,Inputs!$D$55/C51),0)</f>
        <v>0</v>
      </c>
      <c r="L73">
        <f>IFERROR(L51*MIN(1,Inputs!$D$55/C51),0)</f>
        <v>0</v>
      </c>
      <c r="M73">
        <f>IFERROR(M51*MIN(1,Inputs!$D$55/C51),0)</f>
        <v>0</v>
      </c>
      <c r="N73">
        <f>IFERROR(N51*MIN(1,Inputs!$D$55/C51),0)</f>
        <v>0</v>
      </c>
      <c r="O73">
        <f>IFERROR(O51*MIN(1,Inputs!$D$55/C51),0)</f>
        <v>0</v>
      </c>
      <c r="P73">
        <f>IFERROR(P51*MIN(1,Inputs!$D$55/C51),0)</f>
        <v>0</v>
      </c>
      <c r="Q73">
        <f>IFERROR(Q51*MIN(1,Inputs!$D$55/C51),0)</f>
        <v>0</v>
      </c>
      <c r="R73">
        <f>IFERROR(R51*MIN(1,Inputs!$D$55/C51),0)</f>
        <v>0</v>
      </c>
      <c r="S73">
        <f>IFERROR(S51*MIN(1,Inputs!$D$55/C51),0)</f>
        <v>0</v>
      </c>
      <c r="T73">
        <f>IFERROR(T51*MIN(1,Inputs!$D$55/C51),0)</f>
        <v>0</v>
      </c>
      <c r="U73">
        <f>IFERROR(U51*MIN(1,Inputs!$D$55/C51),0)</f>
        <v>0</v>
      </c>
      <c r="V73">
        <f>IFERROR(V51*MIN(1,Inputs!$D$55/C51),0)</f>
        <v>0</v>
      </c>
      <c r="W73">
        <f>IFERROR(W51*MIN(1,Inputs!$D$55/C51),0)</f>
        <v>0</v>
      </c>
      <c r="X73">
        <f>IFERROR(X51*MIN(1,Inputs!$D$55/C51),0)</f>
        <v>0</v>
      </c>
      <c r="Y73">
        <f>IFERROR(Y51*MIN(1,Inputs!$D$55/C51),0)</f>
        <v>0</v>
      </c>
      <c r="Z73">
        <f>IFERROR(Z51*MIN(1,Inputs!$D$55/C51),0)</f>
        <v>0</v>
      </c>
      <c r="AA73">
        <f>IFERROR(AA51*MIN(1,Inputs!$D$55/C51),0)</f>
        <v>0</v>
      </c>
      <c r="AB73">
        <f>IFERROR(AB51*MIN(1,Inputs!$D$55/C51),0)</f>
        <v>0</v>
      </c>
      <c r="AC73">
        <f>IFERROR(AC51*MIN(1,Inputs!$D$55/C51),0)</f>
        <v>0</v>
      </c>
      <c r="AD73">
        <f>IFERROR(AD51*MIN(1,Inputs!$D$55/C51),0)</f>
        <v>0</v>
      </c>
      <c r="AE73">
        <f>IFERROR(AE51*MIN(1,Inputs!$D$55/C51),0)</f>
        <v>0</v>
      </c>
      <c r="AF73">
        <f>IFERROR(AF51*MIN(1,Inputs!$D$55/C51),0)</f>
        <v>0</v>
      </c>
      <c r="AG73">
        <f>IFERROR(AG51*MIN(1,Inputs!$D$55/C51),0)</f>
        <v>0</v>
      </c>
      <c r="AH73">
        <f>IFERROR(AH51*MIN(1,Inputs!$D$55/C51),0)</f>
        <v>0</v>
      </c>
      <c r="AI73">
        <f>IFERROR(AI51*MIN(1,Inputs!$D$55/C51),0)</f>
        <v>0</v>
      </c>
      <c r="AJ73">
        <f>IFERROR(AJ51*MIN(1,Inputs!$D$55/C51),0)</f>
        <v>0</v>
      </c>
      <c r="AK73">
        <f>IFERROR(AK51*MIN(1,Inputs!$D$55/C51),0)</f>
        <v>0</v>
      </c>
      <c r="AL73">
        <f>IFERROR(AL51*MIN(1,Inputs!$D$55/C51),0)</f>
        <v>0</v>
      </c>
      <c r="AM73">
        <f>IFERROR(AM51*MIN(1,Inputs!$D$55/C51),0)</f>
        <v>0</v>
      </c>
      <c r="AN73">
        <f>IFERROR(AN51*MIN(1,Inputs!$D$55/C51),0)</f>
        <v>0</v>
      </c>
      <c r="AO73">
        <f>IFERROR(AO51*MIN(1,Inputs!$D$55/C51),0)</f>
        <v>0</v>
      </c>
      <c r="AP73">
        <f>IFERROR(AP51*MIN(1,Inputs!$D$55/C51),0)</f>
        <v>0</v>
      </c>
      <c r="AQ73">
        <f>IFERROR(AQ51*MIN(1,Inputs!$D$55/C51),0)</f>
        <v>0</v>
      </c>
      <c r="AR73">
        <f>IFERROR(AR51*MIN(1,Inputs!$D$55/C51),0)</f>
        <v>0</v>
      </c>
      <c r="AS73">
        <f>IFERROR(AS51*MIN(1,Inputs!$D$55/C51),0)</f>
        <v>0</v>
      </c>
      <c r="AT73">
        <f>IFERROR(AT51*MIN(1,Inputs!$D$55/C51),0)</f>
        <v>0</v>
      </c>
      <c r="AU73">
        <f>IFERROR(AU51*MIN(1,Inputs!$D$55/C51),0)</f>
        <v>0</v>
      </c>
      <c r="AV73">
        <f>IFERROR(AV51*MIN(1,Inputs!$D$55/C51),0)</f>
        <v>0</v>
      </c>
      <c r="AW73">
        <f>IFERROR(AW51*MIN(1,Inputs!$D$55/C51),0)</f>
        <v>0</v>
      </c>
      <c r="AX73">
        <f>IFERROR(AX51*MIN(1,Inputs!$D$55/C51),0)</f>
        <v>0</v>
      </c>
      <c r="AY73">
        <f>IFERROR(AY51*MIN(1,Inputs!$D$55/C51),0)</f>
        <v>0</v>
      </c>
      <c r="AZ73">
        <f>IFERROR(AZ51*MIN(1,Inputs!$D$55/C51),0)</f>
        <v>0</v>
      </c>
      <c r="BA73">
        <f>IFERROR(BA51*MIN(1,Inputs!$D$55/C51),0)</f>
        <v>0</v>
      </c>
      <c r="BB73">
        <f>IFERROR(BB51*MIN(1,Inputs!$D$55/C51),0)</f>
        <v>0</v>
      </c>
      <c r="BC73">
        <f>IFERROR(BC51*MIN(1,Inputs!$D$55/C51),0)</f>
        <v>0</v>
      </c>
      <c r="BD73">
        <f>IFERROR(BD51*MIN(1,Inputs!$D$55/C51),0)</f>
        <v>0</v>
      </c>
      <c r="BE73">
        <f>IFERROR(BE51*MIN(1,Inputs!$D$55/C51),0)</f>
        <v>0</v>
      </c>
      <c r="BF73">
        <f>IFERROR(BF51*MIN(1,Inputs!$D$55/C51),0)</f>
        <v>0</v>
      </c>
      <c r="BG73">
        <f>IFERROR(BG51*MIN(1,Inputs!$D$55/C51),0)</f>
        <v>0</v>
      </c>
      <c r="BH73">
        <f>IFERROR(BH51*MIN(1,Inputs!$D$55/C51),0)</f>
        <v>0</v>
      </c>
      <c r="BI73">
        <f>IFERROR(BI51*MIN(1,Inputs!$D$55/C51),0)</f>
        <v>0</v>
      </c>
      <c r="BJ73">
        <f>IFERROR(BJ51*MIN(1,Inputs!$D$55/C51),0)</f>
        <v>0</v>
      </c>
      <c r="BK73">
        <f>IFERROR(BK51*MIN(1,Inputs!$D$55/C51),0)</f>
        <v>0</v>
      </c>
      <c r="BL73">
        <f>IFERROR(BL51*MIN(1,Inputs!$D$55/C51),0)</f>
        <v>0</v>
      </c>
      <c r="BM73">
        <f>IFERROR(BM51*MIN(1,Inputs!$D$55/C51),0)</f>
        <v>0</v>
      </c>
      <c r="BN73">
        <f>IFERROR(BN51*MIN(1,Inputs!$D$55/C51),0)</f>
        <v>0</v>
      </c>
      <c r="BO73">
        <f>IFERROR(BO51*MIN(1,Inputs!$D$55/C51),0)</f>
        <v>0</v>
      </c>
    </row>
    <row r="74">
      <c r="B74" t="str">
        <v>PIK interest accrual</v>
      </c>
      <c r="C74" t="e">
        <f>SUM(H74:BO74)</f>
        <v>#REF!</v>
      </c>
      <c r="H74">
        <f>0</f>
      </c>
      <c r="I74">
        <f>H76*Inputs!$D$56/12</f>
      </c>
      <c r="J74">
        <f>I76*Inputs!$D$56/12</f>
      </c>
      <c r="K74">
        <f>J76*Inputs!$D$56/12</f>
      </c>
      <c r="L74">
        <f>K76*Inputs!$D$56/12</f>
      </c>
      <c r="M74">
        <f>L76*Inputs!$D$56/12</f>
      </c>
      <c r="N74">
        <f>M76*Inputs!$D$56/12</f>
      </c>
      <c r="O74">
        <f>N76*Inputs!$D$56/12</f>
      </c>
      <c r="P74">
        <f>O76*Inputs!$D$56/12</f>
      </c>
      <c r="Q74">
        <f>P76*Inputs!$D$56/12</f>
      </c>
      <c r="R74">
        <f>Q76*Inputs!$D$56/12</f>
      </c>
      <c r="S74">
        <f>R76*Inputs!$D$56/12</f>
      </c>
      <c r="T74">
        <f>S76*Inputs!$D$56/12</f>
      </c>
      <c r="U74">
        <f>T76*Inputs!$D$56/12</f>
      </c>
      <c r="V74">
        <f>U76*Inputs!$D$56/12</f>
      </c>
      <c r="W74">
        <f>V76*Inputs!$D$56/12</f>
      </c>
      <c r="X74">
        <f>W76*Inputs!$D$56/12</f>
      </c>
      <c r="Y74">
        <f>X76*Inputs!$D$56/12</f>
      </c>
      <c r="Z74">
        <f>Y76*Inputs!$D$56/12</f>
      </c>
      <c r="AA74">
        <f>Z76*Inputs!$D$56/12</f>
      </c>
      <c r="AB74">
        <f>AA76*Inputs!$D$56/12</f>
      </c>
      <c r="AC74">
        <f>AB76*Inputs!$D$56/12</f>
      </c>
      <c r="AD74">
        <f>AC76*Inputs!$D$56/12</f>
      </c>
      <c r="AE74">
        <f>AD76*Inputs!$D$56/12</f>
      </c>
      <c r="AF74">
        <f>AE76*Inputs!$D$56/12</f>
      </c>
      <c r="AG74">
        <f>AF76*Inputs!$D$56/12</f>
      </c>
      <c r="AH74">
        <f>AG76*Inputs!$D$56/12</f>
      </c>
      <c r="AI74">
        <f>AH76*Inputs!$D$56/12</f>
      </c>
      <c r="AJ74">
        <f>AI76*Inputs!$D$56/12</f>
      </c>
      <c r="AK74">
        <f>AJ76*Inputs!$D$56/12</f>
      </c>
      <c r="AL74">
        <f>AK76*Inputs!$D$56/12</f>
      </c>
      <c r="AM74">
        <f>AL76*Inputs!$D$56/12</f>
      </c>
      <c r="AN74">
        <f>AM76*Inputs!$D$56/12</f>
      </c>
      <c r="AO74">
        <f>AN76*Inputs!$D$56/12</f>
      </c>
      <c r="AP74">
        <f>AO76*Inputs!$D$56/12</f>
      </c>
      <c r="AQ74">
        <f>AP76*Inputs!$D$56/12</f>
      </c>
      <c r="AR74">
        <f>AQ76*Inputs!$D$56/12</f>
      </c>
      <c r="AS74">
        <f>AR76*Inputs!$D$56/12</f>
      </c>
      <c r="AT74">
        <f>AS76*Inputs!$D$56/12</f>
      </c>
      <c r="AU74">
        <f>AT76*Inputs!$D$56/12</f>
      </c>
      <c r="AV74">
        <f>AU76*Inputs!$D$56/12</f>
      </c>
      <c r="AW74">
        <f>AV76*Inputs!$D$56/12</f>
      </c>
      <c r="AX74">
        <f>AW76*Inputs!$D$56/12</f>
      </c>
      <c r="AY74">
        <f>AX76*Inputs!$D$56/12</f>
      </c>
      <c r="AZ74">
        <f>AY76*Inputs!$D$56/12</f>
      </c>
      <c r="BA74">
        <f>AZ76*Inputs!$D$56/12</f>
      </c>
      <c r="BB74">
        <f>BA76*Inputs!$D$56/12</f>
      </c>
      <c r="BC74">
        <f>BB76*Inputs!$D$56/12</f>
      </c>
      <c r="BD74">
        <f>BC76*Inputs!$D$56/12</f>
      </c>
      <c r="BE74">
        <f>BD76*Inputs!$D$56/12</f>
      </c>
      <c r="BF74">
        <f>BE76*Inputs!$D$56/12</f>
      </c>
      <c r="BG74">
        <f>BF76*Inputs!$D$56/12</f>
      </c>
      <c r="BH74">
        <f>BG76*Inputs!$D$56/12</f>
      </c>
      <c r="BI74">
        <f>BH76*Inputs!$D$56/12</f>
      </c>
      <c r="BJ74">
        <f>BI76*Inputs!$D$56/12</f>
      </c>
      <c r="BK74">
        <f>BJ76*Inputs!$D$56/12</f>
      </c>
      <c r="BL74">
        <f>BK76*Inputs!$D$56/12</f>
      </c>
      <c r="BM74">
        <f>BL76*Inputs!$D$56/12</f>
      </c>
      <c r="BN74">
        <f>BM76*Inputs!$D$56/12</f>
      </c>
      <c r="BO74">
        <f>BN76*Inputs!$D$56/12</f>
      </c>
    </row>
    <row r="75">
      <c r="B75" t="str">
        <v>Principal repayment (sales sweep)</v>
      </c>
      <c r="C75" t="e">
        <f>SUM(H75:BO75)</f>
        <v>#REF!</v>
      </c>
      <c r="H75">
        <f>MIN(H55*0.5,H73+H74+H72)</f>
      </c>
      <c r="I75">
        <f>MIN(I55*0.5,H76+I73+I74+I72)</f>
      </c>
      <c r="J75">
        <f>MIN(J55*0.5,I76+J73+J74+J72)</f>
      </c>
      <c r="K75">
        <f>MIN(K55*0.5,J76+K73+K74+K72)</f>
      </c>
      <c r="L75">
        <f>MIN(L55*0.5,K76+L73+L74+L72)</f>
      </c>
      <c r="M75">
        <f>MIN(M55*0.5,L76+M73+M74+M72)</f>
      </c>
      <c r="N75">
        <f>MIN(N55*0.5,M76+N73+N74+N72)</f>
      </c>
      <c r="O75">
        <f>MIN(O55*0.5,N76+O73+O74+O72)</f>
      </c>
      <c r="P75">
        <f>MIN(P55*0.5,O76+P73+P74+P72)</f>
      </c>
      <c r="Q75">
        <f>MIN(Q55*0.5,P76+Q73+Q74+Q72)</f>
      </c>
      <c r="R75">
        <f>MIN(R55*0.5,Q76+R73+R74+R72)</f>
      </c>
      <c r="S75">
        <f>MIN(S55*0.5,R76+S73+S74+S72)</f>
      </c>
      <c r="T75">
        <f>MIN(T55*0.5,S76+T73+T74+T72)</f>
      </c>
      <c r="U75">
        <f>MIN(U55*0.5,T76+U73+U74+U72)</f>
      </c>
      <c r="V75">
        <f>MIN(V55*0.5,U76+V73+V74+V72)</f>
      </c>
      <c r="W75">
        <f>MIN(W55*0.5,V76+W73+W74+W72)</f>
      </c>
      <c r="X75">
        <f>MIN(X55*0.5,W76+X73+X74+X72)</f>
      </c>
      <c r="Y75">
        <f>MIN(Y55*0.5,X76+Y73+Y74+Y72)</f>
      </c>
      <c r="Z75">
        <f>MIN(Z55*0.5,Y76+Z73+Z74+Z72)</f>
      </c>
      <c r="AA75">
        <f>MIN(AA55*0.5,Z76+AA73+AA74+AA72)</f>
      </c>
      <c r="AB75">
        <f>MIN(AB55*0.5,AA76+AB73+AB74+AB72)</f>
      </c>
      <c r="AC75">
        <f>MIN(AC55*0.5,AB76+AC73+AC74+AC72)</f>
      </c>
      <c r="AD75">
        <f>MIN(AD55*0.5,AC76+AD73+AD74+AD72)</f>
      </c>
      <c r="AE75">
        <f>MIN(AE55*0.5,AD76+AE73+AE74+AE72)</f>
      </c>
      <c r="AF75">
        <f>MIN(AF55*0.5,AE76+AF73+AF74+AF72)</f>
      </c>
      <c r="AG75">
        <f>MIN(AG55*0.5,AF76+AG73+AG74+AG72)</f>
      </c>
      <c r="AH75">
        <f>MIN(AH55*0.5,AG76+AH73+AH74+AH72)</f>
      </c>
      <c r="AI75">
        <f>MIN(AI55*0.5,AH76+AI73+AI74+AI72)</f>
      </c>
      <c r="AJ75">
        <f>MIN(AJ55*0.5,AI76+AJ73+AJ74+AJ72)</f>
      </c>
      <c r="AK75">
        <f>MIN(AK55*0.5,AJ76+AK73+AK74+AK72)</f>
      </c>
      <c r="AL75">
        <f>MIN(AL55*0.5,AK76+AL73+AL74+AL72)</f>
      </c>
      <c r="AM75">
        <f>MIN(AM55*0.5,AL76+AM73+AM74+AM72)</f>
      </c>
      <c r="AN75">
        <f>MIN(AN55*0.5,AM76+AN73+AN74+AN72)</f>
      </c>
      <c r="AO75">
        <f>MIN(AO55*0.5,AN76+AO73+AO74+AO72)</f>
      </c>
      <c r="AP75">
        <f>MIN(AP55*0.5,AO76+AP73+AP74+AP72)</f>
      </c>
      <c r="AQ75">
        <f>MIN(AQ55*0.5,AP76+AQ73+AQ74+AQ72)</f>
      </c>
      <c r="AR75">
        <f>MIN(AR55*0.5,AQ76+AR73+AR74+AR72)</f>
      </c>
      <c r="AS75">
        <f>MIN(AS55*0.5,AR76+AS73+AS74+AS72)</f>
      </c>
      <c r="AT75">
        <f>MIN(AT55*0.5,AS76+AT73+AT74+AT72)</f>
      </c>
      <c r="AU75">
        <f>MIN(AU55*0.5,AT76+AU73+AU74+AU72)</f>
      </c>
      <c r="AV75">
        <f>MIN(AV55*0.5,AU76+AV73+AV74+AV72)</f>
      </c>
      <c r="AW75">
        <f>MIN(AW55*0.5,AV76+AW73+AW74+AW72)</f>
      </c>
      <c r="AX75">
        <f>MIN(AX55*0.5,AW76+AX73+AX74+AX72)</f>
      </c>
      <c r="AY75">
        <f>MIN(AY55*0.5,AX76+AY73+AY74+AY72)</f>
      </c>
      <c r="AZ75">
        <f>MIN(AZ55*0.5,AY76+AZ73+AZ74+AZ72)</f>
      </c>
      <c r="BA75">
        <f>MIN(BA55*0.5,AZ76+BA73+BA74+BA72)</f>
      </c>
      <c r="BB75">
        <f>MIN(BB55*0.5,BA76+BB73+BB74+BB72)</f>
      </c>
      <c r="BC75">
        <f>MIN(BC55*0.5,BB76+BC73+BC74+BC72)</f>
      </c>
      <c r="BD75">
        <f>MIN(BD55*0.5,BC76+BD73+BD74+BD72)</f>
      </c>
      <c r="BE75">
        <f>MIN(BE55*0.5,BD76+BE73+BE74+BE72)</f>
      </c>
      <c r="BF75">
        <f>MIN(BF55*0.5,BE76+BF73+BF74+BF72)</f>
      </c>
      <c r="BG75">
        <f>MIN(BG55*0.5,BF76+BG73+BG74+BG72)</f>
      </c>
      <c r="BH75">
        <f>MIN(BH55*0.5,BG76+BH73+BH74+BH72)</f>
      </c>
      <c r="BI75">
        <f>MIN(BI55*0.5,BH76+BI73+BI74+BI72)</f>
      </c>
      <c r="BJ75">
        <f>MIN(BJ55*0.5,BI76+BJ73+BJ74+BJ72)</f>
      </c>
      <c r="BK75">
        <f>MIN(BK55*0.5,BJ76+BK73+BK74+BK72)</f>
      </c>
      <c r="BL75">
        <f>MIN(BL55*0.5,BK76+BL73+BL74+BL72)</f>
      </c>
      <c r="BM75">
        <f>MIN(BM55*0.5,BL76+BM73+BM74+BM72)</f>
      </c>
      <c r="BN75">
        <f>MIN(BN55*0.5,BM76+BN73+BN74+BN72)</f>
      </c>
      <c r="BO75">
        <f>MIN(BO55*0.5,BN76+BO73+BO74+BO72)</f>
      </c>
    </row>
    <row r="76">
      <c r="B76" t="str">
        <v>Loan Balance (end of month)</v>
      </c>
      <c r="C76" t="e">
        <f>BO76</f>
        <v>#REF!</v>
      </c>
      <c r="H76">
        <f>H73+H74+H72-H75</f>
      </c>
      <c r="I76">
        <f>H76+I73+I74+I72-I75</f>
      </c>
      <c r="J76">
        <f>I76+J73+J74+J72-J75</f>
      </c>
      <c r="K76">
        <f>J76+K73+K74+K72-K75</f>
      </c>
      <c r="L76">
        <f>K76+L73+L74+L72-L75</f>
      </c>
      <c r="M76">
        <f>L76+M73+M74+M72-M75</f>
      </c>
      <c r="N76">
        <f>M76+N73+N74+N72-N75</f>
      </c>
      <c r="O76">
        <f>N76+O73+O74+O72-O75</f>
      </c>
      <c r="P76">
        <f>O76+P73+P74+P72-P75</f>
      </c>
      <c r="Q76">
        <f>P76+Q73+Q74+Q72-Q75</f>
      </c>
      <c r="R76">
        <f>Q76+R73+R74+R72-R75</f>
      </c>
      <c r="S76">
        <f>R76+S73+S74+S72-S75</f>
      </c>
      <c r="T76">
        <f>S76+T73+T74+T72-T75</f>
      </c>
      <c r="U76">
        <f>T76+U73+U74+U72-U75</f>
      </c>
      <c r="V76">
        <f>U76+V73+V74+V72-V75</f>
      </c>
      <c r="W76">
        <f>V76+W73+W74+W72-W75</f>
      </c>
      <c r="X76">
        <f>W76+X73+X74+X72-X75</f>
      </c>
      <c r="Y76">
        <f>X76+Y73+Y74+Y72-Y75</f>
      </c>
      <c r="Z76">
        <f>Y76+Z73+Z74+Z72-Z75</f>
      </c>
      <c r="AA76">
        <f>Z76+AA73+AA74+AA72-AA75</f>
      </c>
      <c r="AB76">
        <f>AA76+AB73+AB74+AB72-AB75</f>
      </c>
      <c r="AC76">
        <f>AB76+AC73+AC74+AC72-AC75</f>
      </c>
      <c r="AD76">
        <f>AC76+AD73+AD74+AD72-AD75</f>
      </c>
      <c r="AE76">
        <f>AD76+AE73+AE74+AE72-AE75</f>
      </c>
      <c r="AF76">
        <f>AE76+AF73+AF74+AF72-AF75</f>
      </c>
      <c r="AG76">
        <f>AF76+AG73+AG74+AG72-AG75</f>
      </c>
      <c r="AH76">
        <f>AG76+AH73+AH74+AH72-AH75</f>
      </c>
      <c r="AI76">
        <f>AH76+AI73+AI74+AI72-AI75</f>
      </c>
      <c r="AJ76">
        <f>AI76+AJ73+AJ74+AJ72-AJ75</f>
      </c>
      <c r="AK76">
        <f>AJ76+AK73+AK74+AK72-AK75</f>
      </c>
      <c r="AL76">
        <f>AK76+AL73+AL74+AL72-AL75</f>
      </c>
      <c r="AM76">
        <f>AL76+AM73+AM74+AM72-AM75</f>
      </c>
      <c r="AN76">
        <f>AM76+AN73+AN74+AN72-AN75</f>
      </c>
      <c r="AO76">
        <f>AN76+AO73+AO74+AO72-AO75</f>
      </c>
      <c r="AP76">
        <f>AO76+AP73+AP74+AP72-AP75</f>
      </c>
      <c r="AQ76">
        <f>AP76+AQ73+AQ74+AQ72-AQ75</f>
      </c>
      <c r="AR76">
        <f>AQ76+AR73+AR74+AR72-AR75</f>
      </c>
      <c r="AS76">
        <f>AR76+AS73+AS74+AS72-AS75</f>
      </c>
      <c r="AT76">
        <f>AS76+AT73+AT74+AT72-AT75</f>
      </c>
      <c r="AU76">
        <f>AT76+AU73+AU74+AU72-AU75</f>
      </c>
      <c r="AV76">
        <f>AU76+AV73+AV74+AV72-AV75</f>
      </c>
      <c r="AW76">
        <f>AV76+AW73+AW74+AW72-AW75</f>
      </c>
      <c r="AX76">
        <f>AW76+AX73+AX74+AX72-AX75</f>
      </c>
      <c r="AY76">
        <f>AX76+AY73+AY74+AY72-AY75</f>
      </c>
      <c r="AZ76">
        <f>AY76+AZ73+AZ74+AZ72-AZ75</f>
      </c>
      <c r="BA76">
        <f>AZ76+BA73+BA74+BA72-BA75</f>
      </c>
      <c r="BB76">
        <f>BA76+BB73+BB74+BB72-BB75</f>
      </c>
      <c r="BC76">
        <f>BB76+BC73+BC74+BC72-BC75</f>
      </c>
      <c r="BD76">
        <f>BC76+BD73+BD74+BD72-BD75</f>
      </c>
      <c r="BE76">
        <f>BD76+BE73+BE74+BE72-BE75</f>
      </c>
      <c r="BF76">
        <f>BE76+BF73+BF74+BF72-BF75</f>
      </c>
      <c r="BG76">
        <f>BF76+BG73+BG74+BG72-BG75</f>
      </c>
      <c r="BH76">
        <f>BG76+BH73+BH74+BH72-BH75</f>
      </c>
      <c r="BI76">
        <f>BH76+BI73+BI74+BI72-BI75</f>
      </c>
      <c r="BJ76">
        <f>BI76+BJ73+BJ74+BJ72-BJ75</f>
      </c>
      <c r="BK76">
        <f>BJ76+BK73+BK74+BK72-BK75</f>
      </c>
      <c r="BL76">
        <f>BK76+BL73+BL74+BL72-BL75</f>
      </c>
      <c r="BM76">
        <f>BL76+BM73+BM74+BM72-BM75</f>
      </c>
      <c r="BN76">
        <f>BM76+BN73+BN74+BN72-BN75</f>
      </c>
      <c r="BO76">
        <f>BN76+BO73+BO74+BO72-BO75</f>
      </c>
    </row>
  </sheetData>
  <pageMargins left="0.75" right="0.75" top="1" bottom="1" header="0.511811023622047" footer="0.511811023622047"/>
  <ignoredErrors>
    <ignoredError numberStoredAsText="1" sqref="A1:BO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Quick Screen</vt:lpstr>
      <vt:lpstr>Cover</vt:lpstr>
      <vt:lpstr>Inputs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2026-04-21T10:33:54Z</dcterms:created>
  <dcterms:modified xsi:type="dcterms:W3CDTF">2026-04-21T15:02:48Z</dcterms:modified>
  <cp:lastModifiedBy>Federico Busacca</cp:lastModifiedBy>
  <cp:revision>0</cp:revision>
  <dc:creator>openpyxl</dc:creator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0x010100A4511D5DC06EAF4CA4C9888846D15BFF</vt:lpwstr>
  </property>
</Properties>
</file>
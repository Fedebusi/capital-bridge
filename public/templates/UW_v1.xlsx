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949236628r1.sharepoint.com/sites/ClikaliaDocs/Spain/Finance/Finanzas/Finanzas/03. Corporate Development/05. Asset Management/1. Projects/Debt Fund/DD/UW/"/>
    </mc:Choice>
  </mc:AlternateContent>
  <xr:revisionPtr revIDLastSave="0" documentId="8_{80603929-E8DA-4CC6-9A82-B90EA8EEA46B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Quick Screen" sheetId="3" r:id="rId1"/>
    <sheet name="Cover" sheetId="1" r:id="rId2"/>
    <sheet name="Inputs" sheetId="2" r:id="rId3"/>
    <sheet name="Cash Flo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6" i="2" l="1"/>
  <c r="C67" i="2" s="1"/>
  <c r="E67" i="2" s="1"/>
  <c r="C68" i="2" s="1"/>
  <c r="E68" i="2" s="1"/>
  <c r="E65" i="2"/>
  <c r="C66" i="2" s="1"/>
  <c r="CQ61" i="2"/>
  <c r="CR61" i="2" s="1"/>
  <c r="CS61" i="2" s="1"/>
  <c r="CT61" i="2" s="1"/>
  <c r="BP61" i="2"/>
  <c r="BQ61" i="2" s="1"/>
  <c r="BR61" i="2" s="1"/>
  <c r="BS61" i="2" s="1"/>
  <c r="BT61" i="2" s="1"/>
  <c r="BU61" i="2" s="1"/>
  <c r="BV61" i="2" s="1"/>
  <c r="BW61" i="2" s="1"/>
  <c r="BX61" i="2" s="1"/>
  <c r="BY61" i="2" s="1"/>
  <c r="BZ61" i="2" s="1"/>
  <c r="CA61" i="2" s="1"/>
  <c r="CB61" i="2" s="1"/>
  <c r="CC61" i="2" s="1"/>
  <c r="CD61" i="2" s="1"/>
  <c r="CE61" i="2" s="1"/>
  <c r="CF61" i="2" s="1"/>
  <c r="CG61" i="2" s="1"/>
  <c r="CH61" i="2" s="1"/>
  <c r="CI61" i="2" s="1"/>
  <c r="CJ61" i="2" s="1"/>
  <c r="CK61" i="2" s="1"/>
  <c r="CL61" i="2" s="1"/>
  <c r="CM61" i="2" s="1"/>
  <c r="CN61" i="2" s="1"/>
  <c r="CO61" i="2" s="1"/>
  <c r="CP61" i="2" s="1"/>
  <c r="K61" i="2"/>
  <c r="L61" i="2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AC61" i="2" s="1"/>
  <c r="AD61" i="2" s="1"/>
  <c r="AE61" i="2" s="1"/>
  <c r="AF61" i="2" s="1"/>
  <c r="AG61" i="2" s="1"/>
  <c r="AH61" i="2" s="1"/>
  <c r="AI61" i="2" s="1"/>
  <c r="AJ61" i="2" s="1"/>
  <c r="AK61" i="2" s="1"/>
  <c r="AL61" i="2" s="1"/>
  <c r="AM61" i="2" s="1"/>
  <c r="AN61" i="2" s="1"/>
  <c r="AO61" i="2" s="1"/>
  <c r="AP61" i="2" s="1"/>
  <c r="AQ61" i="2" s="1"/>
  <c r="AR61" i="2" s="1"/>
  <c r="AS61" i="2" s="1"/>
  <c r="AT61" i="2" s="1"/>
  <c r="AU61" i="2" s="1"/>
  <c r="AV61" i="2" s="1"/>
  <c r="AW61" i="2" s="1"/>
  <c r="AX61" i="2" s="1"/>
  <c r="AY61" i="2" s="1"/>
  <c r="AZ61" i="2" s="1"/>
  <c r="BA61" i="2" s="1"/>
  <c r="BB61" i="2" s="1"/>
  <c r="BC61" i="2" s="1"/>
  <c r="BD61" i="2" s="1"/>
  <c r="BE61" i="2" s="1"/>
  <c r="BF61" i="2" s="1"/>
  <c r="BG61" i="2" s="1"/>
  <c r="BH61" i="2" s="1"/>
  <c r="BI61" i="2" s="1"/>
  <c r="BJ61" i="2" s="1"/>
  <c r="BK61" i="2" s="1"/>
  <c r="BL61" i="2" s="1"/>
  <c r="BM61" i="2" s="1"/>
  <c r="BN61" i="2" s="1"/>
  <c r="BO61" i="2" s="1"/>
  <c r="J61" i="2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7" i="4"/>
  <c r="H36" i="4"/>
  <c r="H35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Z18" i="4"/>
  <c r="H21" i="4"/>
  <c r="H20" i="4"/>
  <c r="H19" i="4"/>
  <c r="D31" i="2"/>
  <c r="C19" i="3" s="1"/>
  <c r="D19" i="3" s="1"/>
  <c r="F7" i="2"/>
  <c r="C7" i="2" s="1"/>
  <c r="I62" i="2" s="1"/>
  <c r="J62" i="2" s="1"/>
  <c r="K62" i="2" s="1"/>
  <c r="L62" i="2" s="1"/>
  <c r="M62" i="2" s="1"/>
  <c r="N62" i="2" s="1"/>
  <c r="O62" i="2" s="1"/>
  <c r="P62" i="2" s="1"/>
  <c r="Q62" i="2" s="1"/>
  <c r="R62" i="2" s="1"/>
  <c r="S62" i="2" s="1"/>
  <c r="T62" i="2" s="1"/>
  <c r="U62" i="2" s="1"/>
  <c r="V62" i="2" s="1"/>
  <c r="W62" i="2" s="1"/>
  <c r="X62" i="2" s="1"/>
  <c r="Y62" i="2" s="1"/>
  <c r="Z62" i="2" s="1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M62" i="2" s="1"/>
  <c r="AN62" i="2" s="1"/>
  <c r="AO62" i="2" s="1"/>
  <c r="AP62" i="2" s="1"/>
  <c r="AQ62" i="2" s="1"/>
  <c r="AR62" i="2" s="1"/>
  <c r="AS62" i="2" s="1"/>
  <c r="AT62" i="2" s="1"/>
  <c r="AU62" i="2" s="1"/>
  <c r="AV62" i="2" s="1"/>
  <c r="AW62" i="2" s="1"/>
  <c r="AX62" i="2" s="1"/>
  <c r="AY62" i="2" s="1"/>
  <c r="AZ62" i="2" s="1"/>
  <c r="BA62" i="2" s="1"/>
  <c r="BB62" i="2" s="1"/>
  <c r="BC62" i="2" s="1"/>
  <c r="BD62" i="2" s="1"/>
  <c r="BE62" i="2" s="1"/>
  <c r="BF62" i="2" s="1"/>
  <c r="BG62" i="2" s="1"/>
  <c r="BH62" i="2" s="1"/>
  <c r="BI62" i="2" s="1"/>
  <c r="BJ62" i="2" s="1"/>
  <c r="BK62" i="2" s="1"/>
  <c r="BL62" i="2" s="1"/>
  <c r="BM62" i="2" s="1"/>
  <c r="BN62" i="2" s="1"/>
  <c r="BO62" i="2" s="1"/>
  <c r="BP62" i="2" s="1"/>
  <c r="BQ62" i="2" s="1"/>
  <c r="BR62" i="2" s="1"/>
  <c r="BS62" i="2" s="1"/>
  <c r="BT62" i="2" s="1"/>
  <c r="BU62" i="2" s="1"/>
  <c r="BV62" i="2" s="1"/>
  <c r="BW62" i="2" s="1"/>
  <c r="BX62" i="2" s="1"/>
  <c r="BY62" i="2" s="1"/>
  <c r="BZ62" i="2" s="1"/>
  <c r="CA62" i="2" s="1"/>
  <c r="CB62" i="2" s="1"/>
  <c r="CC62" i="2" s="1"/>
  <c r="CD62" i="2" s="1"/>
  <c r="CE62" i="2" s="1"/>
  <c r="CF62" i="2" s="1"/>
  <c r="CG62" i="2" s="1"/>
  <c r="CH62" i="2" s="1"/>
  <c r="CI62" i="2" s="1"/>
  <c r="CJ62" i="2" s="1"/>
  <c r="CK62" i="2" s="1"/>
  <c r="CL62" i="2" s="1"/>
  <c r="CM62" i="2" s="1"/>
  <c r="CN62" i="2" s="1"/>
  <c r="CO62" i="2" s="1"/>
  <c r="CP62" i="2" s="1"/>
  <c r="CQ62" i="2" s="1"/>
  <c r="CR62" i="2" s="1"/>
  <c r="CS62" i="2" s="1"/>
  <c r="CT62" i="2" s="1"/>
  <c r="C78" i="2"/>
  <c r="C49" i="2"/>
  <c r="C41" i="2"/>
  <c r="C29" i="2"/>
  <c r="C28" i="2"/>
  <c r="C30" i="2" s="1"/>
  <c r="D30" i="2" s="1"/>
  <c r="C23" i="2"/>
  <c r="C25" i="2" s="1"/>
  <c r="D25" i="2" s="1"/>
  <c r="H45" i="4"/>
  <c r="I45" i="4" s="1"/>
  <c r="J45" i="4" s="1"/>
  <c r="K45" i="4" s="1"/>
  <c r="L45" i="4" s="1"/>
  <c r="M45" i="4" s="1"/>
  <c r="N45" i="4" s="1"/>
  <c r="O45" i="4" s="1"/>
  <c r="P45" i="4" s="1"/>
  <c r="Q45" i="4" s="1"/>
  <c r="R45" i="4" s="1"/>
  <c r="S45" i="4" s="1"/>
  <c r="T45" i="4" s="1"/>
  <c r="U45" i="4" s="1"/>
  <c r="V45" i="4" s="1"/>
  <c r="W45" i="4" s="1"/>
  <c r="X45" i="4" s="1"/>
  <c r="Y45" i="4" s="1"/>
  <c r="Z45" i="4" s="1"/>
  <c r="AA45" i="4" s="1"/>
  <c r="AB45" i="4" s="1"/>
  <c r="AC45" i="4" s="1"/>
  <c r="AD45" i="4" s="1"/>
  <c r="AE45" i="4" s="1"/>
  <c r="AF45" i="4" s="1"/>
  <c r="AG45" i="4" s="1"/>
  <c r="AH45" i="4" s="1"/>
  <c r="AI45" i="4" s="1"/>
  <c r="AJ45" i="4" s="1"/>
  <c r="AK45" i="4" s="1"/>
  <c r="AL45" i="4" s="1"/>
  <c r="AM45" i="4" s="1"/>
  <c r="AN45" i="4" s="1"/>
  <c r="AO45" i="4" s="1"/>
  <c r="AP45" i="4" s="1"/>
  <c r="AQ45" i="4" s="1"/>
  <c r="AR45" i="4" s="1"/>
  <c r="AS45" i="4" s="1"/>
  <c r="AT45" i="4" s="1"/>
  <c r="AU45" i="4" s="1"/>
  <c r="AV45" i="4" s="1"/>
  <c r="AW45" i="4" s="1"/>
  <c r="AX45" i="4" s="1"/>
  <c r="AY45" i="4" s="1"/>
  <c r="AZ45" i="4" s="1"/>
  <c r="BA45" i="4" s="1"/>
  <c r="BB45" i="4" s="1"/>
  <c r="BC45" i="4" s="1"/>
  <c r="BD45" i="4" s="1"/>
  <c r="BE45" i="4" s="1"/>
  <c r="BF45" i="4" s="1"/>
  <c r="BG45" i="4" s="1"/>
  <c r="BH45" i="4" s="1"/>
  <c r="BI45" i="4" s="1"/>
  <c r="BJ45" i="4" s="1"/>
  <c r="BK45" i="4" s="1"/>
  <c r="BL45" i="4" s="1"/>
  <c r="BM45" i="4" s="1"/>
  <c r="BN45" i="4" s="1"/>
  <c r="BO45" i="4" s="1"/>
  <c r="BO15" i="4" s="1"/>
  <c r="C5" i="4"/>
  <c r="I48" i="4"/>
  <c r="I40" i="4" s="1"/>
  <c r="J48" i="4"/>
  <c r="J40" i="4" s="1"/>
  <c r="K48" i="4"/>
  <c r="K40" i="4" s="1"/>
  <c r="L48" i="4"/>
  <c r="L40" i="4" s="1"/>
  <c r="M48" i="4"/>
  <c r="M40" i="4" s="1"/>
  <c r="N48" i="4"/>
  <c r="N40" i="4" s="1"/>
  <c r="O48" i="4"/>
  <c r="O40" i="4" s="1"/>
  <c r="P48" i="4"/>
  <c r="P40" i="4" s="1"/>
  <c r="Q48" i="4"/>
  <c r="Q40" i="4" s="1"/>
  <c r="R48" i="4"/>
  <c r="R40" i="4" s="1"/>
  <c r="S48" i="4"/>
  <c r="S40" i="4" s="1"/>
  <c r="T48" i="4"/>
  <c r="T40" i="4" s="1"/>
  <c r="U48" i="4"/>
  <c r="U40" i="4" s="1"/>
  <c r="V48" i="4"/>
  <c r="V40" i="4" s="1"/>
  <c r="W48" i="4"/>
  <c r="W40" i="4" s="1"/>
  <c r="X48" i="4"/>
  <c r="X40" i="4" s="1"/>
  <c r="Y48" i="4"/>
  <c r="Y40" i="4" s="1"/>
  <c r="Z48" i="4"/>
  <c r="Z40" i="4" s="1"/>
  <c r="AA48" i="4"/>
  <c r="AA40" i="4" s="1"/>
  <c r="AB48" i="4"/>
  <c r="AB40" i="4" s="1"/>
  <c r="AC48" i="4"/>
  <c r="AC40" i="4" s="1"/>
  <c r="AD48" i="4"/>
  <c r="AD40" i="4" s="1"/>
  <c r="AE48" i="4"/>
  <c r="AE40" i="4" s="1"/>
  <c r="AF48" i="4"/>
  <c r="AF40" i="4" s="1"/>
  <c r="AG48" i="4"/>
  <c r="AG40" i="4" s="1"/>
  <c r="AH48" i="4"/>
  <c r="AH40" i="4" s="1"/>
  <c r="AI48" i="4"/>
  <c r="AI40" i="4" s="1"/>
  <c r="AJ48" i="4"/>
  <c r="AJ40" i="4" s="1"/>
  <c r="AK48" i="4"/>
  <c r="AK40" i="4" s="1"/>
  <c r="AL48" i="4"/>
  <c r="AL40" i="4" s="1"/>
  <c r="AM48" i="4"/>
  <c r="AM40" i="4" s="1"/>
  <c r="AN48" i="4"/>
  <c r="AN40" i="4" s="1"/>
  <c r="AO48" i="4"/>
  <c r="AO40" i="4" s="1"/>
  <c r="AP48" i="4"/>
  <c r="AP40" i="4" s="1"/>
  <c r="AQ48" i="4"/>
  <c r="AQ40" i="4" s="1"/>
  <c r="AR48" i="4"/>
  <c r="AR40" i="4" s="1"/>
  <c r="AS48" i="4"/>
  <c r="AS40" i="4" s="1"/>
  <c r="AT48" i="4"/>
  <c r="AT40" i="4" s="1"/>
  <c r="AU48" i="4"/>
  <c r="AU40" i="4" s="1"/>
  <c r="AV48" i="4"/>
  <c r="AV40" i="4" s="1"/>
  <c r="AW48" i="4"/>
  <c r="AW40" i="4" s="1"/>
  <c r="AX48" i="4"/>
  <c r="AX40" i="4" s="1"/>
  <c r="AY48" i="4"/>
  <c r="AY40" i="4" s="1"/>
  <c r="AZ48" i="4"/>
  <c r="AZ40" i="4" s="1"/>
  <c r="BA48" i="4"/>
  <c r="BA40" i="4" s="1"/>
  <c r="BB48" i="4"/>
  <c r="BB40" i="4" s="1"/>
  <c r="BC48" i="4"/>
  <c r="BC40" i="4" s="1"/>
  <c r="BD48" i="4"/>
  <c r="BD40" i="4" s="1"/>
  <c r="BE48" i="4"/>
  <c r="BE40" i="4" s="1"/>
  <c r="BF48" i="4"/>
  <c r="BF40" i="4" s="1"/>
  <c r="BG48" i="4"/>
  <c r="BG40" i="4" s="1"/>
  <c r="BH48" i="4"/>
  <c r="BH40" i="4" s="1"/>
  <c r="BI48" i="4"/>
  <c r="BI40" i="4" s="1"/>
  <c r="BJ48" i="4"/>
  <c r="BJ40" i="4" s="1"/>
  <c r="BK48" i="4"/>
  <c r="BK40" i="4" s="1"/>
  <c r="BL48" i="4"/>
  <c r="BL40" i="4" s="1"/>
  <c r="BM48" i="4"/>
  <c r="BM40" i="4" s="1"/>
  <c r="BN48" i="4"/>
  <c r="BN40" i="4" s="1"/>
  <c r="BO48" i="4"/>
  <c r="BO40" i="4" s="1"/>
  <c r="H49" i="4"/>
  <c r="I49" i="4"/>
  <c r="J49" i="4"/>
  <c r="K49" i="4"/>
  <c r="L49" i="4"/>
  <c r="L41" i="4" s="1"/>
  <c r="M49" i="4"/>
  <c r="N49" i="4"/>
  <c r="O49" i="4"/>
  <c r="P49" i="4"/>
  <c r="Q49" i="4"/>
  <c r="R49" i="4"/>
  <c r="S49" i="4"/>
  <c r="T49" i="4"/>
  <c r="T41" i="4" s="1"/>
  <c r="U49" i="4"/>
  <c r="V49" i="4"/>
  <c r="W49" i="4"/>
  <c r="X49" i="4"/>
  <c r="Y49" i="4"/>
  <c r="Z49" i="4"/>
  <c r="AA49" i="4"/>
  <c r="AB49" i="4"/>
  <c r="AB41" i="4" s="1"/>
  <c r="AC49" i="4"/>
  <c r="AD49" i="4"/>
  <c r="AE49" i="4"/>
  <c r="AF49" i="4"/>
  <c r="AG49" i="4"/>
  <c r="AH49" i="4"/>
  <c r="AI49" i="4"/>
  <c r="AJ49" i="4"/>
  <c r="AJ41" i="4" s="1"/>
  <c r="AK49" i="4"/>
  <c r="AL49" i="4"/>
  <c r="AM49" i="4"/>
  <c r="AN49" i="4"/>
  <c r="AO49" i="4"/>
  <c r="AP49" i="4"/>
  <c r="AQ49" i="4"/>
  <c r="AR49" i="4"/>
  <c r="AR41" i="4" s="1"/>
  <c r="AS49" i="4"/>
  <c r="AT49" i="4"/>
  <c r="AU49" i="4"/>
  <c r="AV49" i="4"/>
  <c r="AW49" i="4"/>
  <c r="AW41" i="4" s="1"/>
  <c r="AX49" i="4"/>
  <c r="AY49" i="4"/>
  <c r="AZ49" i="4"/>
  <c r="AZ41" i="4" s="1"/>
  <c r="BA49" i="4"/>
  <c r="BB49" i="4"/>
  <c r="BC49" i="4"/>
  <c r="BD49" i="4"/>
  <c r="BE49" i="4"/>
  <c r="BE41" i="4" s="1"/>
  <c r="BF49" i="4"/>
  <c r="BG49" i="4"/>
  <c r="BH49" i="4"/>
  <c r="BH41" i="4" s="1"/>
  <c r="BI49" i="4"/>
  <c r="BJ49" i="4"/>
  <c r="BK49" i="4"/>
  <c r="BL49" i="4"/>
  <c r="BM49" i="4"/>
  <c r="BM41" i="4" s="1"/>
  <c r="BN49" i="4"/>
  <c r="BO49" i="4"/>
  <c r="H50" i="4"/>
  <c r="H22" i="4" s="1"/>
  <c r="I50" i="4"/>
  <c r="I22" i="4" s="1"/>
  <c r="J50" i="4"/>
  <c r="J22" i="4" s="1"/>
  <c r="K50" i="4"/>
  <c r="K22" i="4" s="1"/>
  <c r="L50" i="4"/>
  <c r="L22" i="4" s="1"/>
  <c r="M50" i="4"/>
  <c r="M22" i="4" s="1"/>
  <c r="N50" i="4"/>
  <c r="N22" i="4" s="1"/>
  <c r="O50" i="4"/>
  <c r="O22" i="4" s="1"/>
  <c r="P50" i="4"/>
  <c r="P22" i="4" s="1"/>
  <c r="Q50" i="4"/>
  <c r="Q22" i="4" s="1"/>
  <c r="R50" i="4"/>
  <c r="R22" i="4" s="1"/>
  <c r="S50" i="4"/>
  <c r="S22" i="4" s="1"/>
  <c r="T50" i="4"/>
  <c r="T22" i="4" s="1"/>
  <c r="U50" i="4"/>
  <c r="U22" i="4" s="1"/>
  <c r="V50" i="4"/>
  <c r="V22" i="4" s="1"/>
  <c r="W50" i="4"/>
  <c r="W22" i="4" s="1"/>
  <c r="X50" i="4"/>
  <c r="X22" i="4" s="1"/>
  <c r="Y50" i="4"/>
  <c r="Y22" i="4" s="1"/>
  <c r="Z50" i="4"/>
  <c r="Z22" i="4" s="1"/>
  <c r="AA50" i="4"/>
  <c r="AA22" i="4" s="1"/>
  <c r="AB50" i="4"/>
  <c r="AB22" i="4" s="1"/>
  <c r="AC50" i="4"/>
  <c r="AC22" i="4" s="1"/>
  <c r="AD50" i="4"/>
  <c r="AD22" i="4" s="1"/>
  <c r="AE50" i="4"/>
  <c r="AE22" i="4" s="1"/>
  <c r="AF50" i="4"/>
  <c r="AF22" i="4" s="1"/>
  <c r="AG50" i="4"/>
  <c r="AG22" i="4" s="1"/>
  <c r="AH50" i="4"/>
  <c r="AH22" i="4" s="1"/>
  <c r="AI50" i="4"/>
  <c r="AI22" i="4" s="1"/>
  <c r="AJ50" i="4"/>
  <c r="AJ22" i="4" s="1"/>
  <c r="AK50" i="4"/>
  <c r="AK22" i="4" s="1"/>
  <c r="AL50" i="4"/>
  <c r="AL22" i="4" s="1"/>
  <c r="AM50" i="4"/>
  <c r="AM22" i="4" s="1"/>
  <c r="AN50" i="4"/>
  <c r="AN22" i="4" s="1"/>
  <c r="AO50" i="4"/>
  <c r="AO22" i="4" s="1"/>
  <c r="AP50" i="4"/>
  <c r="AP22" i="4" s="1"/>
  <c r="AQ50" i="4"/>
  <c r="AQ22" i="4" s="1"/>
  <c r="AR50" i="4"/>
  <c r="AR22" i="4" s="1"/>
  <c r="AS50" i="4"/>
  <c r="AS22" i="4" s="1"/>
  <c r="AT50" i="4"/>
  <c r="AT22" i="4" s="1"/>
  <c r="AU50" i="4"/>
  <c r="AU22" i="4" s="1"/>
  <c r="AV50" i="4"/>
  <c r="AV22" i="4" s="1"/>
  <c r="AW50" i="4"/>
  <c r="AW22" i="4" s="1"/>
  <c r="AX50" i="4"/>
  <c r="AX22" i="4" s="1"/>
  <c r="AY50" i="4"/>
  <c r="AY22" i="4" s="1"/>
  <c r="AZ50" i="4"/>
  <c r="AZ22" i="4" s="1"/>
  <c r="BA50" i="4"/>
  <c r="BA22" i="4" s="1"/>
  <c r="BB50" i="4"/>
  <c r="BB22" i="4" s="1"/>
  <c r="BC50" i="4"/>
  <c r="BC22" i="4" s="1"/>
  <c r="BD50" i="4"/>
  <c r="BD22" i="4" s="1"/>
  <c r="BE50" i="4"/>
  <c r="BE22" i="4" s="1"/>
  <c r="BF50" i="4"/>
  <c r="BF22" i="4" s="1"/>
  <c r="BG50" i="4"/>
  <c r="BG22" i="4" s="1"/>
  <c r="BH50" i="4"/>
  <c r="BH22" i="4" s="1"/>
  <c r="BI50" i="4"/>
  <c r="BI22" i="4" s="1"/>
  <c r="BJ50" i="4"/>
  <c r="BJ22" i="4" s="1"/>
  <c r="BK50" i="4"/>
  <c r="BK22" i="4" s="1"/>
  <c r="BL50" i="4"/>
  <c r="BL22" i="4" s="1"/>
  <c r="BM50" i="4"/>
  <c r="BM22" i="4" s="1"/>
  <c r="BN50" i="4"/>
  <c r="BN22" i="4" s="1"/>
  <c r="BO50" i="4"/>
  <c r="BO22" i="4" s="1"/>
  <c r="H55" i="4"/>
  <c r="H34" i="4" s="1"/>
  <c r="I55" i="4"/>
  <c r="I34" i="4" s="1"/>
  <c r="I38" i="4" s="1"/>
  <c r="J55" i="4"/>
  <c r="J34" i="4" s="1"/>
  <c r="J38" i="4" s="1"/>
  <c r="K55" i="4"/>
  <c r="K34" i="4" s="1"/>
  <c r="K38" i="4" s="1"/>
  <c r="L55" i="4"/>
  <c r="L34" i="4" s="1"/>
  <c r="L38" i="4" s="1"/>
  <c r="M55" i="4"/>
  <c r="M34" i="4" s="1"/>
  <c r="M38" i="4" s="1"/>
  <c r="N55" i="4"/>
  <c r="N34" i="4" s="1"/>
  <c r="N38" i="4" s="1"/>
  <c r="O55" i="4"/>
  <c r="O34" i="4" s="1"/>
  <c r="O38" i="4" s="1"/>
  <c r="P55" i="4"/>
  <c r="P34" i="4" s="1"/>
  <c r="P38" i="4" s="1"/>
  <c r="Q55" i="4"/>
  <c r="Q34" i="4" s="1"/>
  <c r="Q38" i="4" s="1"/>
  <c r="R55" i="4"/>
  <c r="R34" i="4" s="1"/>
  <c r="R38" i="4" s="1"/>
  <c r="S55" i="4"/>
  <c r="S34" i="4" s="1"/>
  <c r="S38" i="4" s="1"/>
  <c r="T55" i="4"/>
  <c r="T34" i="4" s="1"/>
  <c r="T38" i="4" s="1"/>
  <c r="U55" i="4"/>
  <c r="U34" i="4" s="1"/>
  <c r="U38" i="4" s="1"/>
  <c r="V55" i="4"/>
  <c r="V34" i="4" s="1"/>
  <c r="V38" i="4" s="1"/>
  <c r="W55" i="4"/>
  <c r="W34" i="4" s="1"/>
  <c r="W38" i="4" s="1"/>
  <c r="X55" i="4"/>
  <c r="X34" i="4" s="1"/>
  <c r="X38" i="4" s="1"/>
  <c r="Y55" i="4"/>
  <c r="Y34" i="4" s="1"/>
  <c r="Y38" i="4" s="1"/>
  <c r="Z55" i="4"/>
  <c r="Z34" i="4" s="1"/>
  <c r="Z38" i="4" s="1"/>
  <c r="AA55" i="4"/>
  <c r="AA34" i="4" s="1"/>
  <c r="AA38" i="4" s="1"/>
  <c r="AB55" i="4"/>
  <c r="AB34" i="4" s="1"/>
  <c r="AB38" i="4" s="1"/>
  <c r="AC55" i="4"/>
  <c r="AC34" i="4" s="1"/>
  <c r="AC38" i="4" s="1"/>
  <c r="AD55" i="4"/>
  <c r="AD34" i="4" s="1"/>
  <c r="AD38" i="4" s="1"/>
  <c r="AE55" i="4"/>
  <c r="AE34" i="4" s="1"/>
  <c r="AE38" i="4" s="1"/>
  <c r="AF55" i="4"/>
  <c r="AF34" i="4" s="1"/>
  <c r="AF38" i="4" s="1"/>
  <c r="AG55" i="4"/>
  <c r="AG34" i="4" s="1"/>
  <c r="AG38" i="4" s="1"/>
  <c r="AH55" i="4"/>
  <c r="AH34" i="4" s="1"/>
  <c r="AH38" i="4" s="1"/>
  <c r="AI55" i="4"/>
  <c r="AI34" i="4" s="1"/>
  <c r="AI38" i="4" s="1"/>
  <c r="AJ55" i="4"/>
  <c r="AJ34" i="4" s="1"/>
  <c r="AJ38" i="4" s="1"/>
  <c r="AK55" i="4"/>
  <c r="AK34" i="4" s="1"/>
  <c r="AK38" i="4" s="1"/>
  <c r="AL55" i="4"/>
  <c r="AL34" i="4" s="1"/>
  <c r="AL38" i="4" s="1"/>
  <c r="AM55" i="4"/>
  <c r="AM34" i="4" s="1"/>
  <c r="AM38" i="4" s="1"/>
  <c r="AN55" i="4"/>
  <c r="AN34" i="4" s="1"/>
  <c r="AN38" i="4" s="1"/>
  <c r="AO55" i="4"/>
  <c r="AO34" i="4" s="1"/>
  <c r="AO38" i="4" s="1"/>
  <c r="AP55" i="4"/>
  <c r="AP34" i="4" s="1"/>
  <c r="AP38" i="4" s="1"/>
  <c r="AQ55" i="4"/>
  <c r="AQ34" i="4" s="1"/>
  <c r="AQ38" i="4" s="1"/>
  <c r="AR55" i="4"/>
  <c r="AR34" i="4" s="1"/>
  <c r="AR38" i="4" s="1"/>
  <c r="AS55" i="4"/>
  <c r="AS34" i="4" s="1"/>
  <c r="AS38" i="4" s="1"/>
  <c r="AT55" i="4"/>
  <c r="AT34" i="4" s="1"/>
  <c r="AT38" i="4" s="1"/>
  <c r="AU55" i="4"/>
  <c r="AU34" i="4" s="1"/>
  <c r="AU38" i="4" s="1"/>
  <c r="AV55" i="4"/>
  <c r="AV34" i="4" s="1"/>
  <c r="AV38" i="4" s="1"/>
  <c r="AW55" i="4"/>
  <c r="AW34" i="4" s="1"/>
  <c r="AW38" i="4" s="1"/>
  <c r="AX55" i="4"/>
  <c r="AX34" i="4" s="1"/>
  <c r="AX38" i="4" s="1"/>
  <c r="AY55" i="4"/>
  <c r="AY34" i="4" s="1"/>
  <c r="AY38" i="4" s="1"/>
  <c r="AZ55" i="4"/>
  <c r="AZ34" i="4" s="1"/>
  <c r="AZ38" i="4" s="1"/>
  <c r="BA55" i="4"/>
  <c r="BA34" i="4" s="1"/>
  <c r="BA38" i="4" s="1"/>
  <c r="BB55" i="4"/>
  <c r="BB34" i="4" s="1"/>
  <c r="BB38" i="4" s="1"/>
  <c r="BC55" i="4"/>
  <c r="BC34" i="4" s="1"/>
  <c r="BC38" i="4" s="1"/>
  <c r="BD55" i="4"/>
  <c r="BD34" i="4" s="1"/>
  <c r="BD38" i="4" s="1"/>
  <c r="BE55" i="4"/>
  <c r="BE34" i="4" s="1"/>
  <c r="BE38" i="4" s="1"/>
  <c r="BF55" i="4"/>
  <c r="BF34" i="4" s="1"/>
  <c r="BF38" i="4" s="1"/>
  <c r="BG55" i="4"/>
  <c r="BG34" i="4" s="1"/>
  <c r="BG38" i="4" s="1"/>
  <c r="BH55" i="4"/>
  <c r="BH34" i="4" s="1"/>
  <c r="BH38" i="4" s="1"/>
  <c r="BI55" i="4"/>
  <c r="BI34" i="4" s="1"/>
  <c r="BI38" i="4" s="1"/>
  <c r="BJ55" i="4"/>
  <c r="BJ34" i="4" s="1"/>
  <c r="BJ38" i="4" s="1"/>
  <c r="BK55" i="4"/>
  <c r="BK34" i="4" s="1"/>
  <c r="BK38" i="4" s="1"/>
  <c r="BL55" i="4"/>
  <c r="BL34" i="4" s="1"/>
  <c r="BL38" i="4" s="1"/>
  <c r="BM55" i="4"/>
  <c r="BM34" i="4" s="1"/>
  <c r="BM38" i="4" s="1"/>
  <c r="BN55" i="4"/>
  <c r="BN34" i="4" s="1"/>
  <c r="BN38" i="4" s="1"/>
  <c r="BO55" i="4"/>
  <c r="BO34" i="4" s="1"/>
  <c r="BO38" i="4" s="1"/>
  <c r="H72" i="4"/>
  <c r="H28" i="4" s="1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H74" i="4"/>
  <c r="H27" i="4" s="1"/>
  <c r="D78" i="2"/>
  <c r="D49" i="2"/>
  <c r="D50" i="2" s="1"/>
  <c r="D41" i="2"/>
  <c r="D42" i="2" s="1"/>
  <c r="C18" i="2"/>
  <c r="C11" i="3" s="1"/>
  <c r="D11" i="3" s="1"/>
  <c r="C14" i="1"/>
  <c r="C17" i="3"/>
  <c r="D17" i="3" s="1"/>
  <c r="C16" i="3"/>
  <c r="D16" i="3" s="1"/>
  <c r="C13" i="3"/>
  <c r="D13" i="3" s="1"/>
  <c r="BO41" i="4" l="1"/>
  <c r="BO42" i="4" s="1"/>
  <c r="BG41" i="4"/>
  <c r="BG42" i="4" s="1"/>
  <c r="AY41" i="4"/>
  <c r="AQ41" i="4"/>
  <c r="AI41" i="4"/>
  <c r="AI42" i="4" s="1"/>
  <c r="AA41" i="4"/>
  <c r="S41" i="4"/>
  <c r="S42" i="4" s="1"/>
  <c r="K41" i="4"/>
  <c r="K42" i="4" s="1"/>
  <c r="AH18" i="4"/>
  <c r="M16" i="4"/>
  <c r="AO18" i="4"/>
  <c r="AO41" i="4"/>
  <c r="AO42" i="4" s="1"/>
  <c r="AG41" i="4"/>
  <c r="Y41" i="4"/>
  <c r="Y42" i="4" s="1"/>
  <c r="Q41" i="4"/>
  <c r="I41" i="4"/>
  <c r="I42" i="4" s="1"/>
  <c r="C24" i="2"/>
  <c r="D24" i="2" s="1"/>
  <c r="H48" i="4" s="1"/>
  <c r="U16" i="4"/>
  <c r="U25" i="4" s="1"/>
  <c r="AP18" i="4"/>
  <c r="C27" i="2"/>
  <c r="D27" i="2" s="1"/>
  <c r="I18" i="4"/>
  <c r="AX18" i="4"/>
  <c r="AX23" i="4" s="1"/>
  <c r="C26" i="2"/>
  <c r="D26" i="2" s="1"/>
  <c r="J18" i="4"/>
  <c r="J23" i="4" s="1"/>
  <c r="BE18" i="4"/>
  <c r="R18" i="4"/>
  <c r="BF18" i="4"/>
  <c r="Y18" i="4"/>
  <c r="Y23" i="4" s="1"/>
  <c r="BN18" i="4"/>
  <c r="C18" i="3"/>
  <c r="D18" i="3" s="1"/>
  <c r="C15" i="3"/>
  <c r="D15" i="3" s="1"/>
  <c r="H40" i="4"/>
  <c r="C40" i="4" s="1"/>
  <c r="H18" i="4"/>
  <c r="H23" i="4" s="1"/>
  <c r="AW16" i="4"/>
  <c r="U18" i="4"/>
  <c r="AK18" i="4"/>
  <c r="AK23" i="4" s="1"/>
  <c r="BA18" i="4"/>
  <c r="BA23" i="4" s="1"/>
  <c r="BN41" i="4"/>
  <c r="BN42" i="4" s="1"/>
  <c r="BF41" i="4"/>
  <c r="AX41" i="4"/>
  <c r="AX42" i="4" s="1"/>
  <c r="AP41" i="4"/>
  <c r="AP42" i="4" s="1"/>
  <c r="AH41" i="4"/>
  <c r="AH42" i="4" s="1"/>
  <c r="Z41" i="4"/>
  <c r="R41" i="4"/>
  <c r="R42" i="4" s="1"/>
  <c r="J41" i="4"/>
  <c r="J42" i="4" s="1"/>
  <c r="Q16" i="4"/>
  <c r="BE16" i="4"/>
  <c r="V18" i="4"/>
  <c r="AL18" i="4"/>
  <c r="BB18" i="4"/>
  <c r="BL41" i="4"/>
  <c r="BL42" i="4" s="1"/>
  <c r="BD41" i="4"/>
  <c r="BD42" i="4" s="1"/>
  <c r="AV41" i="4"/>
  <c r="AV42" i="4" s="1"/>
  <c r="AN41" i="4"/>
  <c r="AN42" i="4" s="1"/>
  <c r="AF41" i="4"/>
  <c r="X41" i="4"/>
  <c r="X42" i="4" s="1"/>
  <c r="P41" i="4"/>
  <c r="P42" i="4" s="1"/>
  <c r="H41" i="4"/>
  <c r="Y16" i="4"/>
  <c r="BK41" i="4"/>
  <c r="BK42" i="4" s="1"/>
  <c r="BC41" i="4"/>
  <c r="BC42" i="4" s="1"/>
  <c r="AU41" i="4"/>
  <c r="AU42" i="4" s="1"/>
  <c r="AM41" i="4"/>
  <c r="AM42" i="4" s="1"/>
  <c r="AE41" i="4"/>
  <c r="AE42" i="4" s="1"/>
  <c r="W41" i="4"/>
  <c r="W42" i="4" s="1"/>
  <c r="O41" i="4"/>
  <c r="O42" i="4" s="1"/>
  <c r="AY42" i="4"/>
  <c r="AQ42" i="4"/>
  <c r="AA42" i="4"/>
  <c r="C19" i="4"/>
  <c r="AC16" i="4"/>
  <c r="M18" i="4"/>
  <c r="M23" i="4" s="1"/>
  <c r="M25" i="4" s="1"/>
  <c r="AC18" i="4"/>
  <c r="AC23" i="4" s="1"/>
  <c r="AS18" i="4"/>
  <c r="BI18" i="4"/>
  <c r="BI23" i="4" s="1"/>
  <c r="C35" i="4"/>
  <c r="BJ41" i="4"/>
  <c r="BJ42" i="4" s="1"/>
  <c r="BB41" i="4"/>
  <c r="AT41" i="4"/>
  <c r="AT42" i="4" s="1"/>
  <c r="AL41" i="4"/>
  <c r="AL42" i="4" s="1"/>
  <c r="AD41" i="4"/>
  <c r="AD42" i="4" s="1"/>
  <c r="V41" i="4"/>
  <c r="V42" i="4" s="1"/>
  <c r="N41" i="4"/>
  <c r="N42" i="4" s="1"/>
  <c r="C20" i="4"/>
  <c r="AG16" i="4"/>
  <c r="N18" i="4"/>
  <c r="AD18" i="4"/>
  <c r="AT18" i="4"/>
  <c r="AT23" i="4" s="1"/>
  <c r="BJ18" i="4"/>
  <c r="BJ23" i="4" s="1"/>
  <c r="C36" i="4"/>
  <c r="BI41" i="4"/>
  <c r="BI42" i="4" s="1"/>
  <c r="BA41" i="4"/>
  <c r="BA42" i="4" s="1"/>
  <c r="AS41" i="4"/>
  <c r="AS42" i="4" s="1"/>
  <c r="AK41" i="4"/>
  <c r="AC41" i="4"/>
  <c r="AC42" i="4" s="1"/>
  <c r="U41" i="4"/>
  <c r="U42" i="4" s="1"/>
  <c r="M41" i="4"/>
  <c r="M42" i="4" s="1"/>
  <c r="BM42" i="4"/>
  <c r="BE42" i="4"/>
  <c r="AW42" i="4"/>
  <c r="AG42" i="4"/>
  <c r="Q42" i="4"/>
  <c r="C21" i="4"/>
  <c r="AK16" i="4"/>
  <c r="Q18" i="4"/>
  <c r="Q23" i="4" s="1"/>
  <c r="AG18" i="4"/>
  <c r="AW18" i="4"/>
  <c r="BM18" i="4"/>
  <c r="BM23" i="4" s="1"/>
  <c r="C37" i="4"/>
  <c r="C28" i="4"/>
  <c r="I16" i="4"/>
  <c r="AO16" i="4"/>
  <c r="BB42" i="4"/>
  <c r="AK42" i="4"/>
  <c r="H38" i="4"/>
  <c r="C38" i="4" s="1"/>
  <c r="C34" i="4"/>
  <c r="BH42" i="4"/>
  <c r="AZ42" i="4"/>
  <c r="AR42" i="4"/>
  <c r="AJ42" i="4"/>
  <c r="AB42" i="4"/>
  <c r="T42" i="4"/>
  <c r="L42" i="4"/>
  <c r="BF42" i="4"/>
  <c r="Z42" i="4"/>
  <c r="C22" i="4"/>
  <c r="AF42" i="4"/>
  <c r="K16" i="4"/>
  <c r="S16" i="4"/>
  <c r="AA16" i="4"/>
  <c r="AI16" i="4"/>
  <c r="AQ16" i="4"/>
  <c r="AY16" i="4"/>
  <c r="BG16" i="4"/>
  <c r="BO16" i="4"/>
  <c r="P18" i="4"/>
  <c r="P23" i="4" s="1"/>
  <c r="X18" i="4"/>
  <c r="X23" i="4" s="1"/>
  <c r="AF18" i="4"/>
  <c r="AF23" i="4" s="1"/>
  <c r="AN18" i="4"/>
  <c r="AN23" i="4" s="1"/>
  <c r="AV18" i="4"/>
  <c r="AV23" i="4" s="1"/>
  <c r="BD18" i="4"/>
  <c r="BD23" i="4" s="1"/>
  <c r="BL18" i="4"/>
  <c r="BL23" i="4" s="1"/>
  <c r="L16" i="4"/>
  <c r="T16" i="4"/>
  <c r="AB16" i="4"/>
  <c r="AJ16" i="4"/>
  <c r="AR16" i="4"/>
  <c r="AZ16" i="4"/>
  <c r="BH16" i="4"/>
  <c r="I23" i="4"/>
  <c r="AG23" i="4"/>
  <c r="AG25" i="4" s="1"/>
  <c r="AO23" i="4"/>
  <c r="AW23" i="4"/>
  <c r="AW25" i="4" s="1"/>
  <c r="BE23" i="4"/>
  <c r="BE25" i="4" s="1"/>
  <c r="AS16" i="4"/>
  <c r="BA16" i="4"/>
  <c r="BI16" i="4"/>
  <c r="R23" i="4"/>
  <c r="Z23" i="4"/>
  <c r="AH23" i="4"/>
  <c r="AP23" i="4"/>
  <c r="BF23" i="4"/>
  <c r="BN23" i="4"/>
  <c r="N16" i="4"/>
  <c r="V16" i="4"/>
  <c r="AD16" i="4"/>
  <c r="AL16" i="4"/>
  <c r="AT16" i="4"/>
  <c r="BB16" i="4"/>
  <c r="BJ16" i="4"/>
  <c r="K18" i="4"/>
  <c r="K23" i="4" s="1"/>
  <c r="S18" i="4"/>
  <c r="S23" i="4" s="1"/>
  <c r="AA18" i="4"/>
  <c r="AA23" i="4" s="1"/>
  <c r="AI18" i="4"/>
  <c r="AI23" i="4" s="1"/>
  <c r="AQ18" i="4"/>
  <c r="AQ23" i="4" s="1"/>
  <c r="AY18" i="4"/>
  <c r="AY23" i="4" s="1"/>
  <c r="BG18" i="4"/>
  <c r="BG23" i="4" s="1"/>
  <c r="BG25" i="4" s="1"/>
  <c r="BO18" i="4"/>
  <c r="BO23" i="4" s="1"/>
  <c r="O16" i="4"/>
  <c r="W16" i="4"/>
  <c r="AE16" i="4"/>
  <c r="AM16" i="4"/>
  <c r="AU16" i="4"/>
  <c r="BC16" i="4"/>
  <c r="BK16" i="4"/>
  <c r="L18" i="4"/>
  <c r="L23" i="4" s="1"/>
  <c r="T18" i="4"/>
  <c r="T23" i="4" s="1"/>
  <c r="AB18" i="4"/>
  <c r="AB23" i="4" s="1"/>
  <c r="AJ18" i="4"/>
  <c r="AJ23" i="4" s="1"/>
  <c r="AR18" i="4"/>
  <c r="AR23" i="4" s="1"/>
  <c r="AZ18" i="4"/>
  <c r="AZ23" i="4" s="1"/>
  <c r="BH18" i="4"/>
  <c r="BH23" i="4" s="1"/>
  <c r="H16" i="4"/>
  <c r="P16" i="4"/>
  <c r="X16" i="4"/>
  <c r="AF16" i="4"/>
  <c r="AN16" i="4"/>
  <c r="AV16" i="4"/>
  <c r="BD16" i="4"/>
  <c r="BL16" i="4"/>
  <c r="BL25" i="4" s="1"/>
  <c r="U23" i="4"/>
  <c r="AS23" i="4"/>
  <c r="I25" i="4"/>
  <c r="BM16" i="4"/>
  <c r="N23" i="4"/>
  <c r="V23" i="4"/>
  <c r="V25" i="4" s="1"/>
  <c r="AD23" i="4"/>
  <c r="AL23" i="4"/>
  <c r="BB23" i="4"/>
  <c r="J16" i="4"/>
  <c r="R16" i="4"/>
  <c r="Z16" i="4"/>
  <c r="AH16" i="4"/>
  <c r="AP16" i="4"/>
  <c r="AX16" i="4"/>
  <c r="BF16" i="4"/>
  <c r="BN16" i="4"/>
  <c r="O18" i="4"/>
  <c r="O23" i="4" s="1"/>
  <c r="W18" i="4"/>
  <c r="W23" i="4" s="1"/>
  <c r="AE18" i="4"/>
  <c r="AE23" i="4" s="1"/>
  <c r="AM18" i="4"/>
  <c r="AM23" i="4" s="1"/>
  <c r="AU18" i="4"/>
  <c r="AU23" i="4" s="1"/>
  <c r="BC18" i="4"/>
  <c r="BC23" i="4" s="1"/>
  <c r="BK18" i="4"/>
  <c r="BK23" i="4" s="1"/>
  <c r="BB25" i="4"/>
  <c r="L15" i="4"/>
  <c r="T15" i="4"/>
  <c r="AB15" i="4"/>
  <c r="AJ15" i="4"/>
  <c r="AR15" i="4"/>
  <c r="AZ15" i="4"/>
  <c r="BH15" i="4"/>
  <c r="M15" i="4"/>
  <c r="U15" i="4"/>
  <c r="AC15" i="4"/>
  <c r="AK15" i="4"/>
  <c r="AS15" i="4"/>
  <c r="BA15" i="4"/>
  <c r="BI15" i="4"/>
  <c r="N15" i="4"/>
  <c r="V15" i="4"/>
  <c r="AD15" i="4"/>
  <c r="AL15" i="4"/>
  <c r="AT15" i="4"/>
  <c r="BB15" i="4"/>
  <c r="BJ15" i="4"/>
  <c r="O15" i="4"/>
  <c r="W15" i="4"/>
  <c r="AE15" i="4"/>
  <c r="AM15" i="4"/>
  <c r="AU15" i="4"/>
  <c r="BC15" i="4"/>
  <c r="BK15" i="4"/>
  <c r="H15" i="4"/>
  <c r="P15" i="4"/>
  <c r="X15" i="4"/>
  <c r="AF15" i="4"/>
  <c r="AN15" i="4"/>
  <c r="AV15" i="4"/>
  <c r="BD15" i="4"/>
  <c r="BL15" i="4"/>
  <c r="I15" i="4"/>
  <c r="Q15" i="4"/>
  <c r="Y15" i="4"/>
  <c r="AG15" i="4"/>
  <c r="AO15" i="4"/>
  <c r="AW15" i="4"/>
  <c r="BE15" i="4"/>
  <c r="BM15" i="4"/>
  <c r="J15" i="4"/>
  <c r="R15" i="4"/>
  <c r="Z15" i="4"/>
  <c r="AH15" i="4"/>
  <c r="AP15" i="4"/>
  <c r="AX15" i="4"/>
  <c r="BF15" i="4"/>
  <c r="BN15" i="4"/>
  <c r="K15" i="4"/>
  <c r="S15" i="4"/>
  <c r="AA15" i="4"/>
  <c r="AI15" i="4"/>
  <c r="AQ15" i="4"/>
  <c r="AY15" i="4"/>
  <c r="BG15" i="4"/>
  <c r="BH51" i="4"/>
  <c r="C14" i="3"/>
  <c r="D14" i="3" s="1"/>
  <c r="C12" i="3"/>
  <c r="D12" i="3" s="1"/>
  <c r="AZ51" i="4"/>
  <c r="AR51" i="4"/>
  <c r="AJ51" i="4"/>
  <c r="AB51" i="4"/>
  <c r="T51" i="4"/>
  <c r="L51" i="4"/>
  <c r="C8" i="2"/>
  <c r="BK51" i="4"/>
  <c r="BC51" i="4"/>
  <c r="AU51" i="4"/>
  <c r="AM51" i="4"/>
  <c r="AE51" i="4"/>
  <c r="W51" i="4"/>
  <c r="O51" i="4"/>
  <c r="C42" i="2"/>
  <c r="C50" i="2"/>
  <c r="BJ51" i="4"/>
  <c r="BB51" i="4"/>
  <c r="AT51" i="4"/>
  <c r="AL51" i="4"/>
  <c r="AD51" i="4"/>
  <c r="V51" i="4"/>
  <c r="N51" i="4"/>
  <c r="BM51" i="4"/>
  <c r="BE51" i="4"/>
  <c r="AW51" i="4"/>
  <c r="AO51" i="4"/>
  <c r="AG51" i="4"/>
  <c r="Y51" i="4"/>
  <c r="Q51" i="4"/>
  <c r="I51" i="4"/>
  <c r="C12" i="4"/>
  <c r="C49" i="4"/>
  <c r="BO51" i="4"/>
  <c r="BG51" i="4"/>
  <c r="AY51" i="4"/>
  <c r="AQ51" i="4"/>
  <c r="AI51" i="4"/>
  <c r="AA51" i="4"/>
  <c r="S51" i="4"/>
  <c r="K51" i="4"/>
  <c r="BN51" i="4"/>
  <c r="BF51" i="4"/>
  <c r="AX51" i="4"/>
  <c r="AP51" i="4"/>
  <c r="AH51" i="4"/>
  <c r="Z51" i="4"/>
  <c r="R51" i="4"/>
  <c r="J51" i="4"/>
  <c r="C72" i="4"/>
  <c r="BI51" i="4"/>
  <c r="BA51" i="4"/>
  <c r="AS51" i="4"/>
  <c r="AK51" i="4"/>
  <c r="AC51" i="4"/>
  <c r="U51" i="4"/>
  <c r="M51" i="4"/>
  <c r="C50" i="4"/>
  <c r="BL51" i="4"/>
  <c r="BD51" i="4"/>
  <c r="AV51" i="4"/>
  <c r="AN51" i="4"/>
  <c r="AF51" i="4"/>
  <c r="X51" i="4"/>
  <c r="P51" i="4"/>
  <c r="C48" i="4"/>
  <c r="C55" i="4"/>
  <c r="H51" i="4"/>
  <c r="AC25" i="4" l="1"/>
  <c r="Y25" i="4"/>
  <c r="AL25" i="4"/>
  <c r="AJ25" i="4"/>
  <c r="AY25" i="4"/>
  <c r="BD25" i="4"/>
  <c r="H42" i="4"/>
  <c r="C42" i="4" s="1"/>
  <c r="AO25" i="4"/>
  <c r="AB25" i="4"/>
  <c r="AK25" i="4"/>
  <c r="K25" i="4"/>
  <c r="BN25" i="4"/>
  <c r="BI25" i="4"/>
  <c r="P25" i="4"/>
  <c r="BF25" i="4"/>
  <c r="C20" i="3"/>
  <c r="AD25" i="4"/>
  <c r="Q25" i="4"/>
  <c r="BC25" i="4"/>
  <c r="AI25" i="4"/>
  <c r="AX25" i="4"/>
  <c r="AS25" i="4"/>
  <c r="C41" i="4"/>
  <c r="AT25" i="4"/>
  <c r="N25" i="4"/>
  <c r="L25" i="4"/>
  <c r="BM25" i="4"/>
  <c r="X25" i="4"/>
  <c r="BJ25" i="4"/>
  <c r="AZ25" i="4"/>
  <c r="BK25" i="4"/>
  <c r="BO25" i="4"/>
  <c r="BA25" i="4"/>
  <c r="AR25" i="4"/>
  <c r="C16" i="4"/>
  <c r="AP25" i="4"/>
  <c r="AU25" i="4"/>
  <c r="AQ25" i="4"/>
  <c r="AH25" i="4"/>
  <c r="T25" i="4"/>
  <c r="AV25" i="4"/>
  <c r="AM25" i="4"/>
  <c r="Z25" i="4"/>
  <c r="C18" i="4"/>
  <c r="AN25" i="4"/>
  <c r="AE25" i="4"/>
  <c r="AA25" i="4"/>
  <c r="R25" i="4"/>
  <c r="AF25" i="4"/>
  <c r="W25" i="4"/>
  <c r="S25" i="4"/>
  <c r="J25" i="4"/>
  <c r="BH25" i="4"/>
  <c r="O25" i="4"/>
  <c r="H25" i="4"/>
  <c r="C23" i="4"/>
  <c r="C51" i="4"/>
  <c r="H73" i="4" s="1"/>
  <c r="D20" i="3"/>
  <c r="H30" i="4" l="1"/>
  <c r="C25" i="4"/>
  <c r="H75" i="4"/>
  <c r="H76" i="4" s="1"/>
  <c r="N73" i="4"/>
  <c r="AO73" i="4"/>
  <c r="AR73" i="4"/>
  <c r="AY73" i="4"/>
  <c r="AX73" i="4"/>
  <c r="BA73" i="4"/>
  <c r="BL73" i="4"/>
  <c r="AE73" i="4"/>
  <c r="AG73" i="4"/>
  <c r="AJ73" i="4"/>
  <c r="AQ73" i="4"/>
  <c r="AP73" i="4"/>
  <c r="AS73" i="4"/>
  <c r="BD73" i="4"/>
  <c r="BJ73" i="4"/>
  <c r="Y73" i="4"/>
  <c r="AB73" i="4"/>
  <c r="AI73" i="4"/>
  <c r="AH73" i="4"/>
  <c r="AK73" i="4"/>
  <c r="AV73" i="4"/>
  <c r="AM73" i="4"/>
  <c r="BB73" i="4"/>
  <c r="Q73" i="4"/>
  <c r="T73" i="4"/>
  <c r="AA73" i="4"/>
  <c r="Z73" i="4"/>
  <c r="AC73" i="4"/>
  <c r="AN73" i="4"/>
  <c r="AT73" i="4"/>
  <c r="W73" i="4"/>
  <c r="I73" i="4"/>
  <c r="L73" i="4"/>
  <c r="S73" i="4"/>
  <c r="R73" i="4"/>
  <c r="U73" i="4"/>
  <c r="AF73" i="4"/>
  <c r="AL73" i="4"/>
  <c r="BM73" i="4"/>
  <c r="O73" i="4"/>
  <c r="K73" i="4"/>
  <c r="BK73" i="4"/>
  <c r="J73" i="4"/>
  <c r="M73" i="4"/>
  <c r="X73" i="4"/>
  <c r="AD73" i="4"/>
  <c r="BE73" i="4"/>
  <c r="BH73" i="4"/>
  <c r="BO73" i="4"/>
  <c r="BN73" i="4"/>
  <c r="BC73" i="4"/>
  <c r="P73" i="4"/>
  <c r="V73" i="4"/>
  <c r="AW73" i="4"/>
  <c r="AZ73" i="4"/>
  <c r="BG73" i="4"/>
  <c r="BF73" i="4"/>
  <c r="BI73" i="4"/>
  <c r="AU73" i="4"/>
  <c r="C6" i="4" l="1"/>
  <c r="I74" i="4"/>
  <c r="I27" i="4" s="1"/>
  <c r="C73" i="4"/>
  <c r="I30" i="4" l="1"/>
  <c r="I75" i="4"/>
  <c r="I76" i="4" s="1"/>
  <c r="J74" i="4" l="1"/>
  <c r="J75" i="4" l="1"/>
  <c r="J27" i="4"/>
  <c r="J76" i="4"/>
  <c r="J30" i="4" l="1"/>
  <c r="K74" i="4"/>
  <c r="K75" i="4" l="1"/>
  <c r="K27" i="4"/>
  <c r="K76" i="4"/>
  <c r="K30" i="4" l="1"/>
  <c r="L74" i="4"/>
  <c r="L75" i="4" l="1"/>
  <c r="L27" i="4"/>
  <c r="L30" i="4" s="1"/>
  <c r="L76" i="4"/>
  <c r="M74" i="4" s="1"/>
  <c r="M27" i="4" s="1"/>
  <c r="M30" i="4" s="1"/>
  <c r="M75" i="4" l="1"/>
  <c r="M76" i="4" s="1"/>
  <c r="N74" i="4" l="1"/>
  <c r="N27" i="4" s="1"/>
  <c r="N30" i="4" s="1"/>
  <c r="N75" i="4" l="1"/>
  <c r="N76" i="4" s="1"/>
  <c r="O74" i="4" l="1"/>
  <c r="O75" i="4" l="1"/>
  <c r="O76" i="4" s="1"/>
  <c r="P74" i="4" s="1"/>
  <c r="O27" i="4"/>
  <c r="O30" i="4" s="1"/>
  <c r="P75" i="4" l="1"/>
  <c r="P76" i="4" s="1"/>
  <c r="Q74" i="4" s="1"/>
  <c r="P27" i="4"/>
  <c r="P30" i="4" s="1"/>
  <c r="Q75" i="4" l="1"/>
  <c r="Q76" i="4" s="1"/>
  <c r="R74" i="4" s="1"/>
  <c r="Q27" i="4"/>
  <c r="Q30" i="4" s="1"/>
  <c r="R75" i="4" l="1"/>
  <c r="R76" i="4" s="1"/>
  <c r="S74" i="4" s="1"/>
  <c r="R27" i="4"/>
  <c r="R30" i="4" s="1"/>
  <c r="S75" i="4" l="1"/>
  <c r="S76" i="4" s="1"/>
  <c r="T74" i="4" s="1"/>
  <c r="S27" i="4"/>
  <c r="S30" i="4" s="1"/>
  <c r="T75" i="4" l="1"/>
  <c r="T76" i="4" s="1"/>
  <c r="U74" i="4" s="1"/>
  <c r="T27" i="4"/>
  <c r="T30" i="4" s="1"/>
  <c r="U75" i="4" l="1"/>
  <c r="U76" i="4" s="1"/>
  <c r="V74" i="4" s="1"/>
  <c r="V27" i="4" s="1"/>
  <c r="V30" i="4" s="1"/>
  <c r="U27" i="4"/>
  <c r="U30" i="4" s="1"/>
  <c r="V75" i="4" l="1"/>
  <c r="V76" i="4" s="1"/>
  <c r="W74" i="4" l="1"/>
  <c r="W75" i="4" l="1"/>
  <c r="W76" i="4" s="1"/>
  <c r="X74" i="4" s="1"/>
  <c r="W27" i="4"/>
  <c r="W30" i="4" s="1"/>
  <c r="X75" i="4" l="1"/>
  <c r="X76" i="4" s="1"/>
  <c r="Y74" i="4" s="1"/>
  <c r="X27" i="4"/>
  <c r="X30" i="4" s="1"/>
  <c r="Y75" i="4" l="1"/>
  <c r="Y76" i="4" s="1"/>
  <c r="Z74" i="4" s="1"/>
  <c r="Y27" i="4"/>
  <c r="Y30" i="4" s="1"/>
  <c r="Z75" i="4" l="1"/>
  <c r="Z76" i="4" s="1"/>
  <c r="AA74" i="4" s="1"/>
  <c r="AA27" i="4" s="1"/>
  <c r="AA30" i="4" s="1"/>
  <c r="Z27" i="4"/>
  <c r="Z30" i="4" s="1"/>
  <c r="AA75" i="4" l="1"/>
  <c r="AA76" i="4" s="1"/>
  <c r="AB74" i="4" l="1"/>
  <c r="AB75" i="4" l="1"/>
  <c r="AB76" i="4" s="1"/>
  <c r="AC74" i="4" s="1"/>
  <c r="AB27" i="4"/>
  <c r="AB30" i="4" s="1"/>
  <c r="AC75" i="4" l="1"/>
  <c r="AC76" i="4" s="1"/>
  <c r="AD74" i="4" s="1"/>
  <c r="AC27" i="4"/>
  <c r="AC30" i="4" s="1"/>
  <c r="AD75" i="4" l="1"/>
  <c r="AD76" i="4" s="1"/>
  <c r="AD27" i="4"/>
  <c r="AD30" i="4" s="1"/>
  <c r="AE74" i="4"/>
  <c r="AE75" i="4" l="1"/>
  <c r="AE76" i="4" s="1"/>
  <c r="AF74" i="4" s="1"/>
  <c r="AE27" i="4"/>
  <c r="AE30" i="4" s="1"/>
  <c r="AF75" i="4" l="1"/>
  <c r="AF76" i="4" s="1"/>
  <c r="AG74" i="4" s="1"/>
  <c r="AF27" i="4"/>
  <c r="AF30" i="4" s="1"/>
  <c r="AG75" i="4" l="1"/>
  <c r="AG76" i="4" s="1"/>
  <c r="AH74" i="4" s="1"/>
  <c r="AG27" i="4"/>
  <c r="AG30" i="4" s="1"/>
  <c r="AH75" i="4" l="1"/>
  <c r="AH76" i="4" s="1"/>
  <c r="AI74" i="4" s="1"/>
  <c r="AI27" i="4" s="1"/>
  <c r="AI30" i="4" s="1"/>
  <c r="AH27" i="4"/>
  <c r="AH30" i="4" s="1"/>
  <c r="AI75" i="4" l="1"/>
  <c r="AI76" i="4" s="1"/>
  <c r="AJ74" i="4" l="1"/>
  <c r="AJ75" i="4" l="1"/>
  <c r="AJ76" i="4" s="1"/>
  <c r="AK74" i="4" s="1"/>
  <c r="AJ27" i="4"/>
  <c r="AJ30" i="4" s="1"/>
  <c r="AK75" i="4" l="1"/>
  <c r="AK76" i="4" s="1"/>
  <c r="AL74" i="4" s="1"/>
  <c r="AK27" i="4"/>
  <c r="AK30" i="4" s="1"/>
  <c r="AL75" i="4" l="1"/>
  <c r="AL76" i="4" s="1"/>
  <c r="AM74" i="4" s="1"/>
  <c r="AL27" i="4"/>
  <c r="AL30" i="4" s="1"/>
  <c r="AM75" i="4" l="1"/>
  <c r="AM76" i="4" s="1"/>
  <c r="AN74" i="4" s="1"/>
  <c r="AM27" i="4"/>
  <c r="AM30" i="4" s="1"/>
  <c r="AN75" i="4" l="1"/>
  <c r="AN76" i="4" s="1"/>
  <c r="AN27" i="4"/>
  <c r="AN30" i="4" s="1"/>
  <c r="AO74" i="4"/>
  <c r="AO75" i="4" l="1"/>
  <c r="AO76" i="4" s="1"/>
  <c r="AP74" i="4" s="1"/>
  <c r="AO27" i="4"/>
  <c r="AO30" i="4" s="1"/>
  <c r="AP75" i="4" l="1"/>
  <c r="AP76" i="4" s="1"/>
  <c r="AQ74" i="4" s="1"/>
  <c r="AQ27" i="4" s="1"/>
  <c r="AQ30" i="4" s="1"/>
  <c r="AP27" i="4"/>
  <c r="AP30" i="4" s="1"/>
  <c r="AQ75" i="4" l="1"/>
  <c r="AQ76" i="4" s="1"/>
  <c r="AR74" i="4" l="1"/>
  <c r="AR75" i="4" l="1"/>
  <c r="AR76" i="4" s="1"/>
  <c r="AS74" i="4" s="1"/>
  <c r="AR27" i="4"/>
  <c r="AR30" i="4" s="1"/>
  <c r="AS75" i="4" l="1"/>
  <c r="AS76" i="4" s="1"/>
  <c r="AT74" i="4" s="1"/>
  <c r="AS27" i="4"/>
  <c r="AS30" i="4" s="1"/>
  <c r="AT75" i="4" l="1"/>
  <c r="AT76" i="4" s="1"/>
  <c r="AU74" i="4" s="1"/>
  <c r="AT27" i="4"/>
  <c r="AT30" i="4" s="1"/>
  <c r="AU75" i="4" l="1"/>
  <c r="AU76" i="4" s="1"/>
  <c r="AU27" i="4"/>
  <c r="AU30" i="4" s="1"/>
  <c r="AV74" i="4"/>
  <c r="AV75" i="4" l="1"/>
  <c r="AV76" i="4" s="1"/>
  <c r="AW74" i="4" s="1"/>
  <c r="AV27" i="4"/>
  <c r="AV30" i="4" s="1"/>
  <c r="AW75" i="4" l="1"/>
  <c r="AW76" i="4" s="1"/>
  <c r="AX74" i="4" s="1"/>
  <c r="AW27" i="4"/>
  <c r="AW30" i="4" s="1"/>
  <c r="AX75" i="4" l="1"/>
  <c r="AX76" i="4" s="1"/>
  <c r="AY74" i="4" s="1"/>
  <c r="AY27" i="4" s="1"/>
  <c r="AY30" i="4" s="1"/>
  <c r="AX27" i="4"/>
  <c r="AX30" i="4" s="1"/>
  <c r="AY75" i="4" l="1"/>
  <c r="AY76" i="4" s="1"/>
  <c r="AZ74" i="4" l="1"/>
  <c r="AZ75" i="4" l="1"/>
  <c r="AZ76" i="4" s="1"/>
  <c r="AZ27" i="4"/>
  <c r="AZ30" i="4" s="1"/>
  <c r="BA74" i="4"/>
  <c r="BA75" i="4" l="1"/>
  <c r="BA76" i="4" s="1"/>
  <c r="BA27" i="4"/>
  <c r="BA30" i="4" s="1"/>
  <c r="BB74" i="4"/>
  <c r="BB75" i="4" l="1"/>
  <c r="BB76" i="4" s="1"/>
  <c r="BC74" i="4" s="1"/>
  <c r="BB27" i="4"/>
  <c r="BB30" i="4" s="1"/>
  <c r="BC75" i="4" l="1"/>
  <c r="BC27" i="4"/>
  <c r="BC30" i="4" s="1"/>
  <c r="BC76" i="4"/>
  <c r="BD74" i="4" s="1"/>
  <c r="BD75" i="4" l="1"/>
  <c r="BD76" i="4" s="1"/>
  <c r="BD27" i="4"/>
  <c r="BD30" i="4" s="1"/>
  <c r="BE74" i="4"/>
  <c r="BE75" i="4" l="1"/>
  <c r="BE76" i="4" s="1"/>
  <c r="BF74" i="4" s="1"/>
  <c r="BE27" i="4"/>
  <c r="BE30" i="4" s="1"/>
  <c r="BF75" i="4" l="1"/>
  <c r="BF76" i="4" s="1"/>
  <c r="BG74" i="4" s="1"/>
  <c r="BG27" i="4" s="1"/>
  <c r="BG30" i="4" s="1"/>
  <c r="BF27" i="4"/>
  <c r="BF30" i="4" s="1"/>
  <c r="BG75" i="4" l="1"/>
  <c r="BG76" i="4" s="1"/>
  <c r="BH74" i="4" l="1"/>
  <c r="BH75" i="4" l="1"/>
  <c r="BH76" i="4" s="1"/>
  <c r="BI74" i="4" s="1"/>
  <c r="BH27" i="4"/>
  <c r="BH30" i="4" s="1"/>
  <c r="BI75" i="4" l="1"/>
  <c r="BI76" i="4" s="1"/>
  <c r="BJ74" i="4" s="1"/>
  <c r="BI27" i="4"/>
  <c r="BI30" i="4" s="1"/>
  <c r="BJ75" i="4" l="1"/>
  <c r="BJ76" i="4" s="1"/>
  <c r="BJ27" i="4"/>
  <c r="BJ30" i="4" s="1"/>
  <c r="BK74" i="4"/>
  <c r="BK75" i="4" l="1"/>
  <c r="BK76" i="4" s="1"/>
  <c r="BL74" i="4" s="1"/>
  <c r="BK27" i="4"/>
  <c r="BK30" i="4" s="1"/>
  <c r="BL75" i="4" l="1"/>
  <c r="BL76" i="4" s="1"/>
  <c r="BL27" i="4"/>
  <c r="BL30" i="4" s="1"/>
  <c r="BM74" i="4"/>
  <c r="BM75" i="4" l="1"/>
  <c r="BM76" i="4" s="1"/>
  <c r="BN74" i="4" s="1"/>
  <c r="BM27" i="4"/>
  <c r="BM30" i="4" s="1"/>
  <c r="BN75" i="4" l="1"/>
  <c r="BN76" i="4" s="1"/>
  <c r="BO74" i="4" s="1"/>
  <c r="BO27" i="4" s="1"/>
  <c r="BN27" i="4"/>
  <c r="BN30" i="4" s="1"/>
  <c r="BO30" i="4" l="1"/>
  <c r="C30" i="4" s="1"/>
  <c r="C27" i="4"/>
  <c r="C74" i="4"/>
  <c r="C11" i="4"/>
  <c r="BO75" i="4"/>
  <c r="BO76" i="4" s="1"/>
  <c r="C76" i="4" l="1"/>
  <c r="C7" i="4"/>
  <c r="C8" i="4" s="1"/>
  <c r="C9" i="4"/>
  <c r="C75" i="4"/>
  <c r="C10" i="4"/>
  <c r="C21" i="3"/>
  <c r="C22" i="3" l="1"/>
  <c r="D22" i="3" s="1"/>
  <c r="D21" i="3"/>
</calcChain>
</file>

<file path=xl/sharedStrings.xml><?xml version="1.0" encoding="utf-8"?>
<sst xmlns="http://schemas.openxmlformats.org/spreadsheetml/2006/main" count="161" uniqueCount="145">
  <si>
    <t>CLIKALIA DEBT FUND — UNDERWRITING MODEL</t>
  </si>
  <si>
    <t>Senior Secured Bridge Loan — Residential Development — Spain</t>
  </si>
  <si>
    <t>DEAL IDENTIFICATION</t>
  </si>
  <si>
    <t>Project Name</t>
  </si>
  <si>
    <t>Sponsor</t>
  </si>
  <si>
    <t>Borrower SPV</t>
  </si>
  <si>
    <t>Location (City, Province)</t>
  </si>
  <si>
    <t>Product Type</t>
  </si>
  <si>
    <t>Total Buildable Area (sqm)</t>
  </si>
  <si>
    <t>Total Units</t>
  </si>
  <si>
    <t>Deal Date</t>
  </si>
  <si>
    <t>Underwriter</t>
  </si>
  <si>
    <t>LOAN HEADLINE</t>
  </si>
  <si>
    <t>Loan Commitment (€)</t>
  </si>
  <si>
    <t>LTC (Loan / Total Cost)</t>
  </si>
  <si>
    <t>LTV (Loan / GDV)</t>
  </si>
  <si>
    <t>Peak Loan Balance (€)</t>
  </si>
  <si>
    <t>Funding Life (months)</t>
  </si>
  <si>
    <t>PIK Rate</t>
  </si>
  <si>
    <t>Opening Fee</t>
  </si>
  <si>
    <t>INPUTS</t>
  </si>
  <si>
    <t>1. SALES PLAN</t>
  </si>
  <si>
    <t>Buildable area (sqm)</t>
  </si>
  <si>
    <t>Number of units</t>
  </si>
  <si>
    <t>Average sale price (€/sqm)</t>
  </si>
  <si>
    <t>2. COSTS</t>
  </si>
  <si>
    <t>Acquisition price (€)</t>
  </si>
  <si>
    <t>Related acquisition costs (% of acq. price)</t>
  </si>
  <si>
    <t>Project management (% of hard + soft)</t>
  </si>
  <si>
    <t>Other costs (€, fixed)</t>
  </si>
  <si>
    <t>2b. COST DETAIL (optional — for reference only)</t>
  </si>
  <si>
    <t>Hard costs detail</t>
  </si>
  <si>
    <t>€/sqm</t>
  </si>
  <si>
    <t xml:space="preserve">  Structure &amp; shell</t>
  </si>
  <si>
    <t xml:space="preserve">  MEP (mechanical/electrical/plumbing)</t>
  </si>
  <si>
    <t xml:space="preserve">  Finishes</t>
  </si>
  <si>
    <t xml:space="preserve">  External works</t>
  </si>
  <si>
    <t xml:space="preserve">  Contingency</t>
  </si>
  <si>
    <t>Total hard costs (detail sum) — €/sqm</t>
  </si>
  <si>
    <t xml:space="preserve">  Delta vs. aggregate</t>
  </si>
  <si>
    <t>Soft costs detail</t>
  </si>
  <si>
    <t xml:space="preserve">  Architectural &amp; engineering fees</t>
  </si>
  <si>
    <t xml:space="preserve">  Licensing &amp; permits</t>
  </si>
  <si>
    <t xml:space="preserve">  Insurance (all-risk construction)</t>
  </si>
  <si>
    <t xml:space="preserve">  Legal &amp; consultancy</t>
  </si>
  <si>
    <t>Total soft costs (detail sum) — €/sqm</t>
  </si>
  <si>
    <t>3. FINANCING TERMS</t>
  </si>
  <si>
    <t>Loan commitment (€)</t>
  </si>
  <si>
    <t>PIK rate (% annual)</t>
  </si>
  <si>
    <t>4. TIMING (Project Phasing)</t>
  </si>
  <si>
    <t>Acquisition / licensing duration (months)</t>
  </si>
  <si>
    <t>Construction duration (months)</t>
  </si>
  <si>
    <t>Sales start offset from construction start (months)</t>
  </si>
  <si>
    <t>Sales window duration (months)</t>
  </si>
  <si>
    <t>5. SALES PAYMENT SCHEDULE (Reservation Profile)</t>
  </si>
  <si>
    <t>% collected at reservation (pre-sale signing)</t>
  </si>
  <si>
    <t>% collected during construction (progress payments)</t>
  </si>
  <si>
    <t>% collected at delivery (escritura)</t>
  </si>
  <si>
    <t>Delivery offset after construction end (months)</t>
  </si>
  <si>
    <t xml:space="preserve">  Check: should sum to 100%</t>
  </si>
  <si>
    <t>QUICK SCREEN — SPONSOR CASH FLOW</t>
  </si>
  <si>
    <t>Sponsor Cash Flow</t>
  </si>
  <si>
    <t>€</t>
  </si>
  <si>
    <t>(+) Sale Proceeds</t>
  </si>
  <si>
    <t>(−) Acquisition Cost</t>
  </si>
  <si>
    <t xml:space="preserve">    Acquisition Price</t>
  </si>
  <si>
    <t xml:space="preserve">    Related Costs</t>
  </si>
  <si>
    <t>(−) Construction Works</t>
  </si>
  <si>
    <t xml:space="preserve">    Soft Costs (excl. PM)</t>
  </si>
  <si>
    <t xml:space="preserve">    Hard Costs</t>
  </si>
  <si>
    <t xml:space="preserve">    Project Management (PM)</t>
  </si>
  <si>
    <t>(−) Other Costs</t>
  </si>
  <si>
    <t>Sponsor Margin</t>
  </si>
  <si>
    <t>PIK Interests + Opening Fee</t>
  </si>
  <si>
    <t>Sponsor Net Margin</t>
  </si>
  <si>
    <t>Loan Commitment</t>
  </si>
  <si>
    <t>CASH FLOW — MONTHLY (Lender View)</t>
  </si>
  <si>
    <t>LENDER VIEW — KEY METRICS</t>
  </si>
  <si>
    <t>Cumulative Draws (gross)</t>
  </si>
  <si>
    <t>Peak Loan Balance</t>
  </si>
  <si>
    <t>Month of Peak</t>
  </si>
  <si>
    <t>Cumulative Repayments</t>
  </si>
  <si>
    <t>Total PIK Interest</t>
  </si>
  <si>
    <t>Line</t>
  </si>
  <si>
    <t>Total</t>
  </si>
  <si>
    <t>PROJECT COSTS</t>
  </si>
  <si>
    <t>Acquisition + Related (cost)</t>
  </si>
  <si>
    <t>Construction (cost)</t>
  </si>
  <si>
    <t>Other costs</t>
  </si>
  <si>
    <t>Total Costs</t>
  </si>
  <si>
    <t>SALES PROCEEDS</t>
  </si>
  <si>
    <t>Sales proceeds (reserve + construction + delivery)</t>
  </si>
  <si>
    <t>LOAN MECHANICS</t>
  </si>
  <si>
    <t>Opening fee (capitalized)</t>
  </si>
  <si>
    <t>Loan drawdowns (to lender's usage)</t>
  </si>
  <si>
    <t>PIK interest accrual</t>
  </si>
  <si>
    <t>Principal repayment (sales sweep)</t>
  </si>
  <si>
    <t>Loan Balance (end of month)</t>
  </si>
  <si>
    <t>Sale €</t>
  </si>
  <si>
    <t>Notary</t>
  </si>
  <si>
    <t>AJD</t>
  </si>
  <si>
    <t>Total €</t>
  </si>
  <si>
    <t>Buildable Area</t>
  </si>
  <si>
    <t>Sqm</t>
  </si>
  <si>
    <t>&lt;&lt;&lt;&lt;&lt;&lt;&lt;&lt;</t>
  </si>
  <si>
    <t>This is just a simplistic and fast way to determine the margin of the developer to understand if it's a viable operation</t>
  </si>
  <si>
    <t>Input the main data available</t>
  </si>
  <si>
    <t>0. GENERAL ASSUMPTIONS</t>
  </si>
  <si>
    <t>Model start Date</t>
  </si>
  <si>
    <t>Model End Date</t>
  </si>
  <si>
    <t>Today</t>
  </si>
  <si>
    <t>Duration</t>
  </si>
  <si>
    <t>Other costs (%,Variables)</t>
  </si>
  <si>
    <t>%</t>
  </si>
  <si>
    <t>Soft costs (€/sqm)</t>
  </si>
  <si>
    <t>Hard costs (€/sqm)</t>
  </si>
  <si>
    <t>LTC</t>
  </si>
  <si>
    <t>LTV</t>
  </si>
  <si>
    <t>max</t>
  </si>
  <si>
    <t>P&amp;L (MONTHLY)</t>
  </si>
  <si>
    <t>Revenues (sale proceeds)</t>
  </si>
  <si>
    <t>Acquisition cost</t>
  </si>
  <si>
    <t>Hard costs</t>
  </si>
  <si>
    <t>Soft costs</t>
  </si>
  <si>
    <t>Project management</t>
  </si>
  <si>
    <t>Total project costs</t>
  </si>
  <si>
    <t>Gross margin</t>
  </si>
  <si>
    <t>PIK interest expense</t>
  </si>
  <si>
    <t>Opening fee</t>
  </si>
  <si>
    <t>Profit before tax (EBT)</t>
  </si>
  <si>
    <t>CASH FLOW (MONTHLY)</t>
  </si>
  <si>
    <t>OPERATING CASH FLOW</t>
  </si>
  <si>
    <t>Cash in from sales</t>
  </si>
  <si>
    <t xml:space="preserve">  of which: reservation</t>
  </si>
  <si>
    <t xml:space="preserve">  of which: progress payments</t>
  </si>
  <si>
    <t xml:space="preserve">  of which: delivery</t>
  </si>
  <si>
    <t>Total Operating Cash Flow</t>
  </si>
  <si>
    <t>INVESTING CASH FLOW</t>
  </si>
  <si>
    <t>Acquisition (capex)</t>
  </si>
  <si>
    <t>Construction (capex)</t>
  </si>
  <si>
    <t>Total Investing Cash Flow</t>
  </si>
  <si>
    <t>Duration (months)</t>
  </si>
  <si>
    <t>Opening fee (%)</t>
  </si>
  <si>
    <t>Starting month/date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</si>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</sst>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[Red]\(#,##0\);\-"/>
    <numFmt numFmtId="165" formatCode="mmm\-yyyy"/>
    <numFmt numFmtId="166" formatCode="_-&quot;€ &quot;#,##0_-;[Red]_-&quot;€ (&quot;#,##0\)_-;_-\-_-;_-@_-"/>
    <numFmt numFmtId="167" formatCode="0.0%;[Red]\(0.0%\);\-"/>
    <numFmt numFmtId="168" formatCode="0&quot; months&quot;"/>
    <numFmt numFmtId="169" formatCode="_-&quot;€ &quot;#,##0_-&quot;/sqm&quot;;[Red]_-&quot;€ (&quot;#,##0\)_-&quot;/sqm&quot;;_-\-_-;_-@_-"/>
    <numFmt numFmtId="170" formatCode="\M0"/>
    <numFmt numFmtId="173" formatCode="dd\-mm\-yy;@"/>
    <numFmt numFmtId="174" formatCode="_-\€\ #,##0_-;[Red]_-\€\ \(#,##0\)_-;_-\-_-;_-@_-"/>
  </numFmts>
  <fonts count="26" x14ac:knownFonts="1">
    <font>
      <sz val="11"/>
      <color theme="1"/>
      <name val="Calibri"/>
      <family val="2"/>
      <charset val="1"/>
    </font>
    <font>
      <sz val="10"/>
      <name val="Arial"/>
    </font>
    <font>
      <b/>
      <sz val="16"/>
      <color rgb="FFFFFFFF"/>
      <name val="DM Sans"/>
    </font>
    <font>
      <sz val="11"/>
      <color theme="1"/>
      <name val="DM Sans"/>
    </font>
    <font>
      <i/>
      <sz val="10"/>
      <color rgb="FFFFFFFF"/>
      <name val="DM Sans"/>
    </font>
    <font>
      <b/>
      <sz val="10"/>
      <color rgb="FFFFFFFF"/>
      <name val="DM Sans"/>
    </font>
    <font>
      <sz val="10"/>
      <color rgb="FF000000"/>
      <name val="DM Sans"/>
    </font>
    <font>
      <sz val="10"/>
      <color rgb="FF0000FF"/>
      <name val="DM Sans"/>
    </font>
    <font>
      <b/>
      <sz val="10"/>
      <color rgb="FF000000"/>
      <name val="DM Sans"/>
    </font>
    <font>
      <b/>
      <sz val="10"/>
      <color rgb="FF008000"/>
      <name val="DM Sans"/>
    </font>
    <font>
      <b/>
      <i/>
      <sz val="9"/>
      <name val="DM Sans"/>
    </font>
    <font>
      <i/>
      <sz val="9"/>
      <name val="DM Sans"/>
    </font>
    <font>
      <b/>
      <sz val="14"/>
      <color rgb="FFFFFFFF"/>
      <name val="DM Sans"/>
    </font>
    <font>
      <i/>
      <sz val="9"/>
      <color rgb="FF6B7280"/>
      <name val="DM Sans"/>
    </font>
    <font>
      <b/>
      <i/>
      <sz val="9"/>
      <color rgb="FF6B7280"/>
      <name val="DM Sans"/>
    </font>
    <font>
      <i/>
      <sz val="10"/>
      <color rgb="FF000000"/>
      <name val="DM Sans"/>
    </font>
    <font>
      <i/>
      <sz val="9"/>
      <color rgb="FF000000"/>
      <name val="DM Sans"/>
    </font>
    <font>
      <b/>
      <sz val="11"/>
      <color rgb="FF000000"/>
      <name val="DM Sans"/>
    </font>
    <font>
      <b/>
      <sz val="11"/>
      <name val="DM Sans"/>
    </font>
    <font>
      <sz val="10"/>
      <color rgb="FF008000"/>
      <name val="DM Sans"/>
    </font>
    <font>
      <b/>
      <sz val="13"/>
      <color rgb="FFFFFFFF"/>
      <name val="DM Sans"/>
    </font>
    <font>
      <sz val="10"/>
      <color rgb="FF006100"/>
      <name val="DM Sans"/>
    </font>
    <font>
      <b/>
      <sz val="10"/>
      <name val="DM Sans"/>
    </font>
    <font>
      <b/>
      <i/>
      <sz val="11"/>
      <color theme="1" tint="0.499984740745262"/>
      <name val="DM Sans"/>
    </font>
    <font>
      <sz val="10"/>
      <name val="DM Sans"/>
    </font>
    <font>
      <sz val="10"/>
      <color theme="1"/>
      <name val="DM Sans"/>
    </font>
  </fonts>
  <fills count="16">
    <fill>
      <patternFill patternType="none"/>
    </fill>
    <fill>
      <patternFill patternType="gray125"/>
    </fill>
    <fill>
      <patternFill patternType="solid">
        <fgColor rgb="FF212D30"/>
        <bgColor rgb="FF333300"/>
      </patternFill>
    </fill>
    <fill>
      <patternFill patternType="solid">
        <fgColor rgb="FF470A25"/>
        <bgColor rgb="FF212D30"/>
      </patternFill>
    </fill>
    <fill>
      <patternFill patternType="solid">
        <fgColor rgb="FFE5E7EB"/>
        <bgColor rgb="FFF7F7F7"/>
      </patternFill>
    </fill>
    <fill>
      <patternFill patternType="solid">
        <fgColor rgb="FFF7F7F7"/>
        <bgColor rgb="FFFFFFFF"/>
      </patternFill>
    </fill>
    <fill>
      <patternFill patternType="solid">
        <fgColor theme="0"/>
        <bgColor rgb="FF333300"/>
      </patternFill>
    </fill>
    <fill>
      <patternFill patternType="solid">
        <fgColor theme="0"/>
        <bgColor rgb="FF212D3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EDB9"/>
        <bgColor rgb="FFFFFF00"/>
      </patternFill>
    </fill>
    <fill>
      <patternFill patternType="solid">
        <fgColor rgb="FFFFEDB9"/>
        <bgColor indexed="64"/>
      </patternFill>
    </fill>
    <fill>
      <patternFill patternType="solid">
        <fgColor rgb="FF470A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212D30"/>
        <bgColor indexed="64"/>
      </patternFill>
    </fill>
  </fills>
  <borders count="17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/>
      <diagonal/>
    </border>
    <border>
      <left/>
      <right/>
      <top style="thick">
        <color theme="3" tint="-0.24994659260841701"/>
      </top>
      <bottom/>
      <diagonal/>
    </border>
    <border>
      <left/>
      <right style="thick">
        <color theme="3" tint="-0.24994659260841701"/>
      </right>
      <top style="thick">
        <color theme="3" tint="-0.24994659260841701"/>
      </top>
      <bottom/>
      <diagonal/>
    </border>
    <border>
      <left style="thick">
        <color theme="3" tint="-0.24994659260841701"/>
      </left>
      <right/>
      <top/>
      <bottom/>
      <diagonal/>
    </border>
    <border>
      <left style="thin">
        <color rgb="FF9CA3AF"/>
      </left>
      <right style="thick">
        <color theme="3" tint="-0.24994659260841701"/>
      </right>
      <top style="thin">
        <color rgb="FF9CA3AF"/>
      </top>
      <bottom style="thin">
        <color rgb="FF9CA3AF"/>
      </bottom>
      <diagonal/>
    </border>
    <border>
      <left/>
      <right style="thick">
        <color theme="3" tint="-0.24994659260841701"/>
      </right>
      <top/>
      <bottom/>
      <diagonal/>
    </border>
    <border>
      <left style="thick">
        <color theme="3" tint="-0.24994659260841701"/>
      </left>
      <right/>
      <top/>
      <bottom style="thick">
        <color theme="3" tint="-0.24994659260841701"/>
      </bottom>
      <diagonal/>
    </border>
    <border>
      <left/>
      <right/>
      <top/>
      <bottom style="thick">
        <color theme="3" tint="-0.24994659260841701"/>
      </bottom>
      <diagonal/>
    </border>
    <border>
      <left style="thin">
        <color rgb="FF9CA3AF"/>
      </left>
      <right style="thick">
        <color theme="3" tint="-0.24994659260841701"/>
      </right>
      <top style="thin">
        <color rgb="FF9CA3AF"/>
      </top>
      <bottom style="thick">
        <color theme="3" tint="-0.24994659260841701"/>
      </bottom>
      <diagonal/>
    </border>
    <border>
      <left style="thin">
        <color rgb="FF9CA3AF"/>
      </left>
      <right style="thin">
        <color rgb="FF9CA3AF"/>
      </right>
      <top style="thick">
        <color theme="3" tint="-0.24994659260841701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9CA3AF"/>
      </bottom>
      <diagonal/>
    </border>
    <border>
      <left/>
      <right/>
      <top style="thin">
        <color rgb="FF9CA3AF"/>
      </top>
      <bottom/>
      <diagonal/>
    </border>
    <border>
      <left/>
      <right/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17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166" fontId="8" fillId="4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 vertical="center" indent="1"/>
    </xf>
    <xf numFmtId="169" fontId="8" fillId="4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left" vertical="center" indent="2"/>
    </xf>
    <xf numFmtId="169" fontId="13" fillId="0" borderId="0" xfId="0" applyNumberFormat="1" applyFont="1" applyAlignment="1">
      <alignment horizontal="right" vertical="center"/>
    </xf>
    <xf numFmtId="167" fontId="13" fillId="4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/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0" fontId="20" fillId="2" borderId="0" xfId="0" applyFont="1" applyFill="1" applyAlignment="1">
      <alignment vertical="center"/>
    </xf>
    <xf numFmtId="0" fontId="3" fillId="0" borderId="0" xfId="0" applyFont="1" applyAlignment="1"/>
    <xf numFmtId="0" fontId="8" fillId="0" borderId="0" xfId="0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19" fillId="0" borderId="0" xfId="0" applyNumberFormat="1" applyFont="1" applyAlignment="1">
      <alignment vertical="center"/>
    </xf>
    <xf numFmtId="170" fontId="19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170" fontId="5" fillId="2" borderId="0" xfId="0" applyNumberFormat="1" applyFont="1" applyFill="1" applyAlignment="1">
      <alignment vertical="center"/>
    </xf>
    <xf numFmtId="166" fontId="6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6" fontId="8" fillId="4" borderId="0" xfId="0" applyNumberFormat="1" applyFont="1" applyFill="1" applyAlignment="1">
      <alignment vertical="center"/>
    </xf>
    <xf numFmtId="166" fontId="21" fillId="0" borderId="0" xfId="0" applyNumberFormat="1" applyFont="1" applyAlignment="1">
      <alignment vertical="center"/>
    </xf>
    <xf numFmtId="0" fontId="5" fillId="6" borderId="0" xfId="0" applyFont="1" applyFill="1" applyAlignment="1">
      <alignment vertical="center"/>
    </xf>
    <xf numFmtId="173" fontId="5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5" fillId="7" borderId="0" xfId="0" applyFont="1" applyFill="1" applyAlignment="1">
      <alignment vertical="center"/>
    </xf>
    <xf numFmtId="0" fontId="3" fillId="8" borderId="0" xfId="0" applyFont="1" applyFill="1"/>
    <xf numFmtId="0" fontId="22" fillId="7" borderId="0" xfId="0" applyFont="1" applyFill="1" applyAlignment="1">
      <alignment vertical="center"/>
    </xf>
    <xf numFmtId="166" fontId="7" fillId="9" borderId="1" xfId="0" applyNumberFormat="1" applyFont="1" applyFill="1" applyBorder="1" applyAlignment="1">
      <alignment horizontal="right" vertical="center"/>
    </xf>
    <xf numFmtId="164" fontId="7" fillId="10" borderId="1" xfId="0" applyNumberFormat="1" applyFont="1" applyFill="1" applyBorder="1" applyAlignment="1">
      <alignment horizontal="right" vertical="center"/>
    </xf>
    <xf numFmtId="0" fontId="17" fillId="5" borderId="2" xfId="0" applyFont="1" applyFill="1" applyBorder="1" applyAlignment="1">
      <alignment horizontal="left" vertical="center"/>
    </xf>
    <xf numFmtId="0" fontId="18" fillId="5" borderId="3" xfId="0" applyFont="1" applyFill="1" applyBorder="1" applyAlignment="1">
      <alignment horizontal="right"/>
    </xf>
    <xf numFmtId="0" fontId="18" fillId="5" borderId="4" xfId="0" applyFont="1" applyFill="1" applyBorder="1" applyAlignment="1">
      <alignment horizontal="right"/>
    </xf>
    <xf numFmtId="0" fontId="8" fillId="0" borderId="5" xfId="0" applyFont="1" applyBorder="1" applyAlignment="1">
      <alignment horizontal="left" vertical="center"/>
    </xf>
    <xf numFmtId="164" fontId="7" fillId="9" borderId="6" xfId="0" applyNumberFormat="1" applyFont="1" applyFill="1" applyBorder="1" applyAlignment="1">
      <alignment horizontal="right" vertical="center"/>
    </xf>
    <xf numFmtId="0" fontId="15" fillId="0" borderId="5" xfId="0" applyFont="1" applyBorder="1" applyAlignment="1">
      <alignment horizontal="left" vertical="center" indent="1"/>
    </xf>
    <xf numFmtId="0" fontId="17" fillId="4" borderId="5" xfId="0" applyFont="1" applyFill="1" applyBorder="1" applyAlignment="1">
      <alignment horizontal="left" vertical="center"/>
    </xf>
    <xf numFmtId="166" fontId="17" fillId="4" borderId="0" xfId="0" applyNumberFormat="1" applyFont="1" applyFill="1" applyBorder="1" applyAlignment="1">
      <alignment horizontal="right" vertical="center"/>
    </xf>
    <xf numFmtId="167" fontId="17" fillId="4" borderId="7" xfId="0" applyNumberFormat="1" applyFont="1" applyFill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166" fontId="19" fillId="0" borderId="0" xfId="0" applyNumberFormat="1" applyFont="1" applyBorder="1" applyAlignment="1">
      <alignment horizontal="right" vertical="center"/>
    </xf>
    <xf numFmtId="0" fontId="15" fillId="0" borderId="8" xfId="0" applyFont="1" applyBorder="1" applyAlignment="1">
      <alignment horizontal="left" vertical="center"/>
    </xf>
    <xf numFmtId="166" fontId="15" fillId="0" borderId="9" xfId="0" applyNumberFormat="1" applyFont="1" applyBorder="1" applyAlignment="1">
      <alignment horizontal="right" vertical="center"/>
    </xf>
    <xf numFmtId="164" fontId="7" fillId="9" borderId="10" xfId="0" applyNumberFormat="1" applyFont="1" applyFill="1" applyBorder="1" applyAlignment="1">
      <alignment horizontal="right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3" fillId="0" borderId="0" xfId="0" applyFont="1"/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/>
    <xf numFmtId="164" fontId="7" fillId="10" borderId="11" xfId="0" applyNumberFormat="1" applyFont="1" applyFill="1" applyBorder="1" applyAlignment="1">
      <alignment horizontal="right" vertical="center"/>
    </xf>
    <xf numFmtId="0" fontId="14" fillId="8" borderId="0" xfId="0" applyFont="1" applyFill="1" applyAlignment="1">
      <alignment horizontal="right"/>
    </xf>
    <xf numFmtId="14" fontId="24" fillId="10" borderId="1" xfId="0" applyNumberFormat="1" applyFont="1" applyFill="1" applyBorder="1" applyAlignment="1">
      <alignment horizontal="right" vertical="center"/>
    </xf>
    <xf numFmtId="0" fontId="25" fillId="0" borderId="0" xfId="0" applyFont="1"/>
    <xf numFmtId="14" fontId="25" fillId="0" borderId="0" xfId="0" applyNumberFormat="1" applyFont="1"/>
    <xf numFmtId="164" fontId="24" fillId="10" borderId="1" xfId="0" applyNumberFormat="1" applyFont="1" applyFill="1" applyBorder="1" applyAlignment="1">
      <alignment horizontal="right" vertical="center"/>
    </xf>
    <xf numFmtId="164" fontId="24" fillId="10" borderId="1" xfId="0" applyNumberFormat="1" applyFont="1" applyFill="1" applyBorder="1" applyAlignment="1">
      <alignment horizontal="left" vertical="center"/>
    </xf>
    <xf numFmtId="164" fontId="7" fillId="10" borderId="1" xfId="0" applyNumberFormat="1" applyFont="1" applyFill="1" applyBorder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9" fontId="1" fillId="11" borderId="1" xfId="1" applyFill="1" applyBorder="1" applyAlignment="1">
      <alignment horizontal="right" vertical="center"/>
    </xf>
    <xf numFmtId="166" fontId="8" fillId="0" borderId="12" xfId="0" applyNumberFormat="1" applyFont="1" applyBorder="1" applyAlignment="1">
      <alignment vertical="center"/>
    </xf>
    <xf numFmtId="0" fontId="3" fillId="0" borderId="12" xfId="0" applyFont="1" applyBorder="1" applyAlignment="1"/>
    <xf numFmtId="166" fontId="8" fillId="0" borderId="13" xfId="0" applyNumberFormat="1" applyFont="1" applyBorder="1" applyAlignment="1">
      <alignment vertical="center"/>
    </xf>
    <xf numFmtId="0" fontId="20" fillId="6" borderId="0" xfId="0" applyFont="1" applyFill="1" applyAlignment="1">
      <alignment vertical="center"/>
    </xf>
    <xf numFmtId="166" fontId="8" fillId="8" borderId="0" xfId="0" applyNumberFormat="1" applyFont="1" applyFill="1" applyBorder="1" applyAlignment="1">
      <alignment vertical="center"/>
    </xf>
    <xf numFmtId="0" fontId="3" fillId="8" borderId="0" xfId="0" applyFont="1" applyFill="1" applyBorder="1" applyAlignment="1"/>
    <xf numFmtId="0" fontId="3" fillId="8" borderId="0" xfId="0" applyFont="1" applyFill="1" applyAlignment="1"/>
    <xf numFmtId="0" fontId="8" fillId="0" borderId="12" xfId="0" applyFont="1" applyBorder="1" applyAlignment="1">
      <alignment vertical="center" wrapText="1"/>
    </xf>
    <xf numFmtId="166" fontId="21" fillId="0" borderId="12" xfId="0" applyNumberFormat="1" applyFont="1" applyBorder="1" applyAlignment="1">
      <alignment vertical="center"/>
    </xf>
    <xf numFmtId="0" fontId="20" fillId="6" borderId="0" xfId="0" applyFont="1" applyFill="1" applyBorder="1" applyAlignment="1">
      <alignment vertical="center"/>
    </xf>
    <xf numFmtId="0" fontId="5" fillId="7" borderId="0" xfId="0" applyFont="1" applyFill="1" applyBorder="1" applyAlignment="1">
      <alignment vertical="center"/>
    </xf>
    <xf numFmtId="166" fontId="9" fillId="8" borderId="0" xfId="0" applyNumberFormat="1" applyFont="1" applyFill="1" applyBorder="1" applyAlignment="1">
      <alignment vertical="center"/>
    </xf>
    <xf numFmtId="166" fontId="19" fillId="8" borderId="0" xfId="0" applyNumberFormat="1" applyFont="1" applyFill="1" applyBorder="1" applyAlignment="1">
      <alignment vertical="center"/>
    </xf>
    <xf numFmtId="170" fontId="19" fillId="8" borderId="0" xfId="0" applyNumberFormat="1" applyFont="1" applyFill="1" applyBorder="1" applyAlignment="1">
      <alignment vertical="center"/>
    </xf>
    <xf numFmtId="168" fontId="9" fillId="8" borderId="0" xfId="0" applyNumberFormat="1" applyFont="1" applyFill="1" applyBorder="1" applyAlignment="1">
      <alignment vertical="center"/>
    </xf>
    <xf numFmtId="0" fontId="5" fillId="6" borderId="0" xfId="0" applyFont="1" applyFill="1" applyBorder="1" applyAlignment="1">
      <alignment vertical="center"/>
    </xf>
    <xf numFmtId="166" fontId="6" fillId="8" borderId="0" xfId="0" applyNumberFormat="1" applyFont="1" applyFill="1" applyBorder="1" applyAlignment="1">
      <alignment vertical="center"/>
    </xf>
    <xf numFmtId="0" fontId="5" fillId="12" borderId="0" xfId="0" applyFont="1" applyFill="1" applyAlignment="1"/>
    <xf numFmtId="0" fontId="8" fillId="13" borderId="14" xfId="0" applyFont="1" applyFill="1" applyBorder="1" applyAlignment="1"/>
    <xf numFmtId="0" fontId="8" fillId="13" borderId="0" xfId="0" applyFont="1" applyFill="1" applyAlignment="1">
      <alignment horizontal="left"/>
    </xf>
    <xf numFmtId="0" fontId="6" fillId="13" borderId="0" xfId="0" applyFont="1" applyFill="1" applyAlignment="1">
      <alignment horizontal="left"/>
    </xf>
    <xf numFmtId="0" fontId="8" fillId="14" borderId="15" xfId="0" applyFont="1" applyFill="1" applyBorder="1" applyAlignment="1">
      <alignment horizontal="left"/>
    </xf>
    <xf numFmtId="0" fontId="8" fillId="14" borderId="16" xfId="0" applyFont="1" applyFill="1" applyBorder="1" applyAlignment="1">
      <alignment horizontal="left"/>
    </xf>
    <xf numFmtId="0" fontId="5" fillId="15" borderId="0" xfId="0" applyFont="1" applyFill="1" applyAlignment="1">
      <alignment horizontal="left"/>
    </xf>
    <xf numFmtId="0" fontId="8" fillId="13" borderId="14" xfId="0" applyFont="1" applyFill="1" applyBorder="1" applyAlignment="1">
      <alignment horizontal="left"/>
    </xf>
    <xf numFmtId="0" fontId="3" fillId="13" borderId="14" xfId="0" applyFont="1" applyFill="1" applyBorder="1" applyAlignment="1"/>
    <xf numFmtId="0" fontId="15" fillId="13" borderId="0" xfId="0" applyFont="1" applyFill="1" applyAlignment="1">
      <alignment horizontal="left"/>
    </xf>
    <xf numFmtId="0" fontId="8" fillId="13" borderId="16" xfId="0" applyFont="1" applyFill="1" applyBorder="1" applyAlignment="1">
      <alignment horizontal="left"/>
    </xf>
    <xf numFmtId="17" fontId="8" fillId="13" borderId="14" xfId="0" applyNumberFormat="1" applyFont="1" applyFill="1" applyBorder="1" applyAlignment="1">
      <alignment horizontal="center"/>
    </xf>
    <xf numFmtId="174" fontId="8" fillId="13" borderId="0" xfId="0" applyNumberFormat="1" applyFont="1" applyFill="1" applyAlignment="1"/>
    <xf numFmtId="174" fontId="6" fillId="13" borderId="0" xfId="0" applyNumberFormat="1" applyFont="1" applyFill="1" applyAlignment="1"/>
    <xf numFmtId="174" fontId="8" fillId="14" borderId="15" xfId="0" applyNumberFormat="1" applyFont="1" applyFill="1" applyBorder="1" applyAlignment="1"/>
    <xf numFmtId="174" fontId="8" fillId="14" borderId="16" xfId="0" applyNumberFormat="1" applyFont="1" applyFill="1" applyBorder="1" applyAlignment="1"/>
    <xf numFmtId="174" fontId="5" fillId="15" borderId="0" xfId="0" applyNumberFormat="1" applyFont="1" applyFill="1" applyAlignment="1"/>
    <xf numFmtId="174" fontId="15" fillId="13" borderId="0" xfId="0" applyNumberFormat="1" applyFont="1" applyFill="1" applyAlignment="1"/>
    <xf numFmtId="164" fontId="7" fillId="9" borderId="0" xfId="0" applyNumberFormat="1" applyFont="1" applyFill="1" applyBorder="1" applyAlignment="1">
      <alignment horizontal="right" vertical="center"/>
    </xf>
    <xf numFmtId="14" fontId="3" fillId="8" borderId="0" xfId="0" applyNumberFormat="1" applyFont="1" applyFill="1"/>
    <xf numFmtId="0" fontId="3" fillId="0" borderId="12" xfId="0" applyFont="1" applyBorder="1"/>
  </cellXfs>
  <cellStyles count="2">
    <cellStyle name="Normal" xfId="0" builtinId="0"/>
    <cellStyle name="Percent" xfId="1" builtinId="5"/>
  </cellStyles>
  <dxfs count="1">
    <dxf>
      <font>
        <color rgb="FF000000"/>
      </font>
      <fill>
        <patternFill patternType="solid">
          <fgColor indexed="64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E5E7EB"/>
      <rgbColor rgb="FF470A25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6100"/>
      <rgbColor rgb="FF333300"/>
      <rgbColor rgb="FF993300"/>
      <rgbColor rgb="FF993366"/>
      <rgbColor rgb="FF333399"/>
      <rgbColor rgb="FF212D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DB9"/>
      <color rgb="FFFFF2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893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1C20D3B-F54A-4DD8-AC01-E79C0C3CA293}">
  <we:reference id="wa200009333" version="2.0.0.0" store="en-US" storeType="OMEX"/>
  <we:alternateReferences>
    <we:reference id="WA200009333" version="2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0DD2C74-3840-4C4E-860F-B70E5060C66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7fd0711-a309-409b-90d6-4107b2d63bb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9"/>
  <sheetViews>
    <sheetView showGridLines="0" zoomScaleNormal="100" workbookViewId="0">
      <selection activeCell="H6" sqref="H6"/>
    </sheetView>
  </sheetViews>
  <sheetFormatPr defaultColWidth="8.6328125" defaultRowHeight="15" x14ac:dyDescent="0.4"/>
  <cols>
    <col min="1" max="1" width="2" style="2" customWidth="1"/>
    <col min="2" max="2" width="44" style="2" customWidth="1"/>
    <col min="3" max="3" width="18" style="2" customWidth="1"/>
    <col min="4" max="4" width="16" style="2" customWidth="1"/>
    <col min="5" max="5" width="2" style="2" customWidth="1"/>
    <col min="6" max="6" width="8.6328125" style="2"/>
    <col min="7" max="7" width="9.90625" style="2" bestFit="1" customWidth="1"/>
    <col min="8" max="8" width="32.90625" style="2" customWidth="1"/>
    <col min="9" max="16384" width="8.6328125" style="2"/>
  </cols>
  <sheetData>
    <row r="2" spans="2:8" ht="27.75" customHeight="1" x14ac:dyDescent="0.4">
      <c r="B2" s="18" t="s">
        <v>60</v>
      </c>
      <c r="C2" s="18"/>
      <c r="D2" s="18"/>
    </row>
    <row r="6" spans="2:8" ht="60" x14ac:dyDescent="0.4">
      <c r="B6" s="62" t="s">
        <v>106</v>
      </c>
      <c r="G6" s="61" t="s">
        <v>104</v>
      </c>
      <c r="H6" s="60" t="s">
        <v>105</v>
      </c>
    </row>
    <row r="7" spans="2:8" ht="15.5" thickBot="1" x14ac:dyDescent="0.45">
      <c r="B7" s="62"/>
      <c r="G7" s="61"/>
      <c r="H7" s="60"/>
    </row>
    <row r="8" spans="2:8" ht="15.5" thickTop="1" x14ac:dyDescent="0.4">
      <c r="B8" s="63" t="s">
        <v>102</v>
      </c>
      <c r="C8" s="69"/>
      <c r="D8" s="64" t="s">
        <v>103</v>
      </c>
    </row>
    <row r="9" spans="2:8" ht="15.5" thickBot="1" x14ac:dyDescent="0.45">
      <c r="B9" s="65"/>
      <c r="C9" s="66"/>
      <c r="D9" s="67"/>
    </row>
    <row r="10" spans="2:8" ht="15" customHeight="1" thickTop="1" x14ac:dyDescent="0.4">
      <c r="B10" s="46" t="s">
        <v>61</v>
      </c>
      <c r="C10" s="47" t="s">
        <v>62</v>
      </c>
      <c r="D10" s="48" t="s">
        <v>32</v>
      </c>
    </row>
    <row r="11" spans="2:8" ht="15" customHeight="1" x14ac:dyDescent="0.4">
      <c r="B11" s="49" t="s">
        <v>63</v>
      </c>
      <c r="C11" s="45">
        <f>Inputs!C18</f>
        <v>0</v>
      </c>
      <c r="D11" s="50">
        <f>IFERROR(C11/$C$8,0)</f>
        <v>0</v>
      </c>
    </row>
    <row r="12" spans="2:8" ht="15" customHeight="1" x14ac:dyDescent="0.4">
      <c r="B12" s="49" t="s">
        <v>64</v>
      </c>
      <c r="C12" s="45">
        <f>-Inputs!D23*(1+Inputs!D24)</f>
        <v>0</v>
      </c>
      <c r="D12" s="50">
        <f>IFERROR(C12/$C$8,0)</f>
        <v>0</v>
      </c>
    </row>
    <row r="13" spans="2:8" ht="15" customHeight="1" x14ac:dyDescent="0.4">
      <c r="B13" s="51" t="s">
        <v>65</v>
      </c>
      <c r="C13" s="45">
        <f>-Inputs!D23</f>
        <v>0</v>
      </c>
      <c r="D13" s="50">
        <f>IFERROR(C13/$C$8,0)</f>
        <v>0</v>
      </c>
    </row>
    <row r="14" spans="2:8" ht="15" customHeight="1" x14ac:dyDescent="0.4">
      <c r="B14" s="51" t="s">
        <v>66</v>
      </c>
      <c r="C14" s="45">
        <f>-Inputs!D23*Inputs!D24</f>
        <v>0</v>
      </c>
      <c r="D14" s="50">
        <f>IFERROR(C14/$C$8,0)</f>
        <v>0</v>
      </c>
    </row>
    <row r="15" spans="2:8" ht="15" customHeight="1" x14ac:dyDescent="0.4">
      <c r="B15" s="49" t="s">
        <v>67</v>
      </c>
      <c r="C15" s="45">
        <f>-(Inputs!D29*Inputs!C15+Inputs!D28*Inputs!C15+(Inputs!D29*Inputs!C15+Inputs!D28*Inputs!C15)*Inputs!D30)</f>
        <v>0</v>
      </c>
      <c r="D15" s="50">
        <f>IFERROR(C15/$C$8,0)</f>
        <v>0</v>
      </c>
    </row>
    <row r="16" spans="2:8" ht="15" customHeight="1" x14ac:dyDescent="0.4">
      <c r="B16" s="51" t="s">
        <v>68</v>
      </c>
      <c r="C16" s="45">
        <f>-Inputs!D29*Inputs!C15</f>
        <v>0</v>
      </c>
      <c r="D16" s="50">
        <f>IFERROR(C16/$C$8,0)</f>
        <v>0</v>
      </c>
    </row>
    <row r="17" spans="2:4" ht="15" customHeight="1" x14ac:dyDescent="0.4">
      <c r="B17" s="51" t="s">
        <v>69</v>
      </c>
      <c r="C17" s="45">
        <f>-Inputs!D28*Inputs!C15</f>
        <v>0</v>
      </c>
      <c r="D17" s="50">
        <f>IFERROR(C17/$C$8,0)</f>
        <v>0</v>
      </c>
    </row>
    <row r="18" spans="2:4" ht="15" customHeight="1" x14ac:dyDescent="0.4">
      <c r="B18" s="51" t="s">
        <v>70</v>
      </c>
      <c r="C18" s="45">
        <f>-(Inputs!D29*Inputs!C15+Inputs!D28*Inputs!C15)*Inputs!D30</f>
        <v>0</v>
      </c>
      <c r="D18" s="50">
        <f>IFERROR(C18/$C$8,0)</f>
        <v>0</v>
      </c>
    </row>
    <row r="19" spans="2:4" ht="15" customHeight="1" x14ac:dyDescent="0.4">
      <c r="B19" s="49" t="s">
        <v>71</v>
      </c>
      <c r="C19" s="45">
        <f>-Inputs!D31</f>
        <v>0</v>
      </c>
      <c r="D19" s="50">
        <f>IFERROR(C19/$C$8,0)</f>
        <v>0</v>
      </c>
    </row>
    <row r="20" spans="2:4" ht="15" customHeight="1" x14ac:dyDescent="0.4">
      <c r="B20" s="52" t="s">
        <v>72</v>
      </c>
      <c r="C20" s="53">
        <f>C11+C12+C15+C19</f>
        <v>0</v>
      </c>
      <c r="D20" s="54">
        <f>IFERROR(C20/C11,0)</f>
        <v>0</v>
      </c>
    </row>
    <row r="21" spans="2:4" ht="15" customHeight="1" x14ac:dyDescent="0.4">
      <c r="B21" s="55" t="s">
        <v>73</v>
      </c>
      <c r="C21" s="56" t="e">
        <f>-('Cash Flow'!C11+'Cash Flow'!C12)</f>
        <v>#REF!</v>
      </c>
      <c r="D21" s="50">
        <f>IFERROR(C21/$C$8,0)</f>
        <v>0</v>
      </c>
    </row>
    <row r="22" spans="2:4" ht="15" customHeight="1" thickBot="1" x14ac:dyDescent="0.45">
      <c r="B22" s="57" t="s">
        <v>74</v>
      </c>
      <c r="C22" s="58" t="e">
        <f>C20+C21</f>
        <v>#REF!</v>
      </c>
      <c r="D22" s="59">
        <f>+IFERROR(C22/C11,0)</f>
        <v>0</v>
      </c>
    </row>
    <row r="23" spans="2:4" ht="15.5" thickTop="1" x14ac:dyDescent="0.4"/>
    <row r="24" spans="2:4" ht="15" customHeight="1" x14ac:dyDescent="0.4">
      <c r="B24" s="41"/>
      <c r="C24" s="41"/>
      <c r="D24" s="41"/>
    </row>
    <row r="25" spans="2:4" ht="15" customHeight="1" x14ac:dyDescent="0.4">
      <c r="B25" s="20"/>
      <c r="C25" s="7"/>
    </row>
    <row r="26" spans="2:4" ht="15" customHeight="1" x14ac:dyDescent="0.4">
      <c r="B26" s="21"/>
      <c r="C26" s="22"/>
    </row>
    <row r="27" spans="2:4" ht="15" customHeight="1" x14ac:dyDescent="0.4">
      <c r="B27" s="20"/>
      <c r="C27" s="23"/>
    </row>
    <row r="28" spans="2:4" ht="15" customHeight="1" x14ac:dyDescent="0.4">
      <c r="B28" s="20"/>
      <c r="C28" s="23"/>
    </row>
    <row r="29" spans="2:4" ht="15" customHeight="1" x14ac:dyDescent="0.4">
      <c r="B29" s="21"/>
      <c r="C29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zoomScaleNormal="100" workbookViewId="0">
      <selection activeCell="C9" sqref="C9"/>
    </sheetView>
  </sheetViews>
  <sheetFormatPr defaultColWidth="8.6328125" defaultRowHeight="15" x14ac:dyDescent="0.4"/>
  <cols>
    <col min="1" max="1" width="2" style="2" customWidth="1"/>
    <col min="2" max="2" width="38" style="2" customWidth="1"/>
    <col min="3" max="3" width="32" style="2" customWidth="1"/>
    <col min="4" max="4" width="2" style="2" customWidth="1"/>
    <col min="5" max="16384" width="8.6328125" style="2"/>
  </cols>
  <sheetData>
    <row r="2" spans="2:3" ht="31.5" customHeight="1" x14ac:dyDescent="0.4">
      <c r="B2" s="1" t="s">
        <v>0</v>
      </c>
      <c r="C2" s="1"/>
    </row>
    <row r="3" spans="2:3" ht="19.5" customHeight="1" x14ac:dyDescent="0.4">
      <c r="B3" s="3" t="s">
        <v>1</v>
      </c>
      <c r="C3" s="3"/>
    </row>
    <row r="5" spans="2:3" ht="15" customHeight="1" x14ac:dyDescent="0.4">
      <c r="B5" s="4" t="s">
        <v>2</v>
      </c>
      <c r="C5" s="4"/>
    </row>
    <row r="6" spans="2:3" s="42" customFormat="1" ht="15" customHeight="1" x14ac:dyDescent="0.4">
      <c r="B6" s="41"/>
      <c r="C6" s="41"/>
    </row>
    <row r="7" spans="2:3" ht="15" customHeight="1" x14ac:dyDescent="0.4">
      <c r="B7" s="5" t="s">
        <v>3</v>
      </c>
      <c r="C7" s="76">
        <v>0</v>
      </c>
    </row>
    <row r="8" spans="2:3" ht="15" customHeight="1" x14ac:dyDescent="0.4">
      <c r="B8" s="5" t="s">
        <v>4</v>
      </c>
      <c r="C8" s="76">
        <v>0</v>
      </c>
    </row>
    <row r="9" spans="2:3" ht="15" customHeight="1" x14ac:dyDescent="0.4">
      <c r="B9" s="5" t="s">
        <v>5</v>
      </c>
      <c r="C9" s="76">
        <v>0</v>
      </c>
    </row>
    <row r="10" spans="2:3" ht="15" customHeight="1" x14ac:dyDescent="0.4">
      <c r="B10" s="5" t="s">
        <v>6</v>
      </c>
      <c r="C10" s="76">
        <v>0</v>
      </c>
    </row>
    <row r="11" spans="2:3" ht="15" customHeight="1" x14ac:dyDescent="0.4">
      <c r="B11" s="5" t="s">
        <v>7</v>
      </c>
      <c r="C11" s="76">
        <v>0</v>
      </c>
    </row>
    <row r="12" spans="2:3" ht="15" customHeight="1" x14ac:dyDescent="0.4">
      <c r="B12" s="5" t="s">
        <v>8</v>
      </c>
      <c r="C12" s="76">
        <v>0</v>
      </c>
    </row>
    <row r="13" spans="2:3" ht="15" customHeight="1" x14ac:dyDescent="0.4">
      <c r="B13" s="5" t="s">
        <v>9</v>
      </c>
      <c r="C13" s="76">
        <v>0</v>
      </c>
    </row>
    <row r="14" spans="2:3" ht="15" customHeight="1" x14ac:dyDescent="0.4">
      <c r="B14" s="5" t="s">
        <v>10</v>
      </c>
      <c r="C14" s="77">
        <f ca="1">TODAY()</f>
        <v>46133</v>
      </c>
    </row>
    <row r="15" spans="2:3" ht="15" customHeight="1" x14ac:dyDescent="0.4">
      <c r="B15" s="5" t="s">
        <v>11</v>
      </c>
      <c r="C15" s="76">
        <v>0</v>
      </c>
    </row>
    <row r="17" spans="2:3" ht="15" customHeight="1" x14ac:dyDescent="0.4">
      <c r="B17" s="4" t="s">
        <v>12</v>
      </c>
      <c r="C17" s="4"/>
    </row>
    <row r="18" spans="2:3" ht="15" customHeight="1" x14ac:dyDescent="0.4">
      <c r="B18" s="41"/>
      <c r="C18" s="41"/>
    </row>
    <row r="19" spans="2:3" ht="15" customHeight="1" x14ac:dyDescent="0.4">
      <c r="B19" s="20" t="s">
        <v>13</v>
      </c>
      <c r="C19" s="75">
        <v>0</v>
      </c>
    </row>
    <row r="20" spans="2:3" ht="15" customHeight="1" x14ac:dyDescent="0.4">
      <c r="B20" s="20" t="s">
        <v>14</v>
      </c>
      <c r="C20" s="75">
        <v>0</v>
      </c>
    </row>
    <row r="21" spans="2:3" ht="15" customHeight="1" x14ac:dyDescent="0.4">
      <c r="B21" s="20" t="s">
        <v>15</v>
      </c>
      <c r="C21" s="75">
        <v>0</v>
      </c>
    </row>
    <row r="22" spans="2:3" ht="15" customHeight="1" x14ac:dyDescent="0.4">
      <c r="B22" s="20" t="s">
        <v>16</v>
      </c>
      <c r="C22" s="75">
        <v>0</v>
      </c>
    </row>
    <row r="23" spans="2:3" ht="15" customHeight="1" x14ac:dyDescent="0.4">
      <c r="B23" s="20" t="s">
        <v>18</v>
      </c>
      <c r="C23" s="75">
        <v>0</v>
      </c>
    </row>
    <row r="24" spans="2:3" ht="15" customHeight="1" x14ac:dyDescent="0.4">
      <c r="B24" s="20" t="s">
        <v>19</v>
      </c>
      <c r="C24" s="75">
        <v>0</v>
      </c>
    </row>
    <row r="25" spans="2:3" ht="15" customHeight="1" x14ac:dyDescent="0.4">
      <c r="B25" s="20" t="s">
        <v>111</v>
      </c>
      <c r="C25" s="75">
        <v>0</v>
      </c>
    </row>
    <row r="27" spans="2:3" ht="15" customHeight="1" x14ac:dyDescent="0.4">
      <c r="B27" s="8"/>
      <c r="C27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T78"/>
  <sheetViews>
    <sheetView showGridLines="0" tabSelected="1" topLeftCell="A55" zoomScale="70" zoomScaleNormal="100" workbookViewId="0">
      <selection activeCell="C65" sqref="C65:E68"/>
    </sheetView>
  </sheetViews>
  <sheetFormatPr defaultColWidth="8.6328125" defaultRowHeight="15" x14ac:dyDescent="0.4"/>
  <cols>
    <col min="1" max="1" width="2" style="2" customWidth="1"/>
    <col min="2" max="2" width="47.7265625" style="2" bestFit="1" customWidth="1"/>
    <col min="3" max="3" width="19.90625" style="2" bestFit="1" customWidth="1"/>
    <col min="4" max="4" width="14" style="2" customWidth="1"/>
    <col min="5" max="8" width="12.36328125" style="2" bestFit="1" customWidth="1"/>
    <col min="9" max="9" width="12.08984375" style="2" bestFit="1" customWidth="1"/>
    <col min="10" max="10" width="12.26953125" style="2" bestFit="1" customWidth="1"/>
    <col min="11" max="11" width="13.08984375" style="2" bestFit="1" customWidth="1"/>
    <col min="12" max="13" width="11.7265625" style="2" bestFit="1" customWidth="1"/>
    <col min="14" max="14" width="11.54296875" style="2" bestFit="1" customWidth="1"/>
    <col min="15" max="15" width="11.81640625" style="2" bestFit="1" customWidth="1"/>
    <col min="16" max="16" width="13.08984375" style="2" bestFit="1" customWidth="1"/>
    <col min="17" max="17" width="12.36328125" style="2" bestFit="1" customWidth="1"/>
    <col min="18" max="18" width="13.1796875" style="2" bestFit="1" customWidth="1"/>
    <col min="19" max="19" width="12.36328125" style="2" bestFit="1" customWidth="1"/>
    <col min="20" max="20" width="13.1796875" style="2" bestFit="1" customWidth="1"/>
    <col min="21" max="21" width="12.26953125" style="2" bestFit="1" customWidth="1"/>
    <col min="22" max="22" width="12.36328125" style="2" bestFit="1" customWidth="1"/>
    <col min="23" max="23" width="13.1796875" style="2" bestFit="1" customWidth="1"/>
    <col min="24" max="25" width="11.81640625" style="2" bestFit="1" customWidth="1"/>
    <col min="26" max="26" width="11.7265625" style="2" bestFit="1" customWidth="1"/>
    <col min="27" max="27" width="11.81640625" style="2" bestFit="1" customWidth="1"/>
    <col min="28" max="28" width="13.08984375" style="2" bestFit="1" customWidth="1"/>
    <col min="29" max="29" width="12.36328125" style="2" bestFit="1" customWidth="1"/>
    <col min="30" max="30" width="13.1796875" style="2" bestFit="1" customWidth="1"/>
    <col min="31" max="31" width="12.36328125" style="2" bestFit="1" customWidth="1"/>
    <col min="32" max="32" width="13.1796875" style="2" bestFit="1" customWidth="1"/>
    <col min="33" max="33" width="12.26953125" style="2" bestFit="1" customWidth="1"/>
    <col min="34" max="34" width="12.36328125" style="2" bestFit="1" customWidth="1"/>
    <col min="35" max="35" width="13.1796875" style="2" bestFit="1" customWidth="1"/>
    <col min="36" max="37" width="11.81640625" style="2" bestFit="1" customWidth="1"/>
    <col min="38" max="38" width="11.7265625" style="2" bestFit="1" customWidth="1"/>
    <col min="39" max="39" width="12" style="2" bestFit="1" customWidth="1"/>
    <col min="40" max="40" width="13.1796875" style="2" bestFit="1" customWidth="1"/>
    <col min="41" max="41" width="12.54296875" style="2" bestFit="1" customWidth="1"/>
    <col min="42" max="42" width="13.36328125" style="2" bestFit="1" customWidth="1"/>
    <col min="43" max="43" width="12.54296875" style="2" bestFit="1" customWidth="1"/>
    <col min="44" max="44" width="13.36328125" style="2" bestFit="1" customWidth="1"/>
    <col min="45" max="45" width="12.36328125" style="2" bestFit="1" customWidth="1"/>
    <col min="46" max="46" width="12.54296875" style="2" bestFit="1" customWidth="1"/>
    <col min="47" max="47" width="13.36328125" style="2" bestFit="1" customWidth="1"/>
    <col min="48" max="49" width="12" style="2" bestFit="1" customWidth="1"/>
    <col min="50" max="50" width="11.81640625" style="2" bestFit="1" customWidth="1"/>
    <col min="51" max="51" width="11.26953125" style="2" bestFit="1" customWidth="1"/>
    <col min="52" max="52" width="12.36328125" style="2" bestFit="1" customWidth="1"/>
    <col min="53" max="53" width="11.81640625" style="2" bestFit="1" customWidth="1"/>
    <col min="54" max="54" width="12.54296875" style="2" bestFit="1" customWidth="1"/>
    <col min="55" max="55" width="11.81640625" style="2" bestFit="1" customWidth="1"/>
    <col min="56" max="56" width="12.54296875" style="2" bestFit="1" customWidth="1"/>
    <col min="57" max="57" width="11.7265625" style="2" bestFit="1" customWidth="1"/>
    <col min="58" max="58" width="11.81640625" style="2" bestFit="1" customWidth="1"/>
    <col min="59" max="59" width="12.54296875" style="2" bestFit="1" customWidth="1"/>
    <col min="60" max="61" width="11.26953125" style="2" bestFit="1" customWidth="1"/>
    <col min="62" max="62" width="11.1796875" style="2" bestFit="1" customWidth="1"/>
    <col min="63" max="63" width="11.81640625" style="2" bestFit="1" customWidth="1"/>
    <col min="64" max="64" width="13.08984375" style="2" bestFit="1" customWidth="1"/>
    <col min="65" max="65" width="12.36328125" style="2" bestFit="1" customWidth="1"/>
    <col min="66" max="66" width="13.1796875" style="2" bestFit="1" customWidth="1"/>
    <col min="67" max="67" width="12.36328125" style="2" bestFit="1" customWidth="1"/>
    <col min="68" max="68" width="13.1796875" style="2" bestFit="1" customWidth="1"/>
    <col min="69" max="69" width="12.26953125" style="2" bestFit="1" customWidth="1"/>
    <col min="70" max="70" width="12.36328125" style="2" bestFit="1" customWidth="1"/>
    <col min="71" max="71" width="13.1796875" style="2" bestFit="1" customWidth="1"/>
    <col min="72" max="73" width="11.81640625" style="2" bestFit="1" customWidth="1"/>
    <col min="74" max="74" width="11.7265625" style="2" bestFit="1" customWidth="1"/>
    <col min="75" max="75" width="11.81640625" style="2" bestFit="1" customWidth="1"/>
    <col min="76" max="76" width="13.08984375" style="2" bestFit="1" customWidth="1"/>
    <col min="77" max="77" width="12.36328125" style="2" bestFit="1" customWidth="1"/>
    <col min="78" max="78" width="13.1796875" style="2" bestFit="1" customWidth="1"/>
    <col min="79" max="79" width="12.36328125" style="2" bestFit="1" customWidth="1"/>
    <col min="80" max="80" width="13.1796875" style="2" bestFit="1" customWidth="1"/>
    <col min="81" max="81" width="12.26953125" style="2" bestFit="1" customWidth="1"/>
    <col min="82" max="82" width="12.36328125" style="2" bestFit="1" customWidth="1"/>
    <col min="83" max="83" width="13.1796875" style="2" bestFit="1" customWidth="1"/>
    <col min="84" max="85" width="11.81640625" style="2" bestFit="1" customWidth="1"/>
    <col min="86" max="86" width="11.7265625" style="2" bestFit="1" customWidth="1"/>
    <col min="87" max="87" width="11.81640625" style="2" bestFit="1" customWidth="1"/>
    <col min="88" max="88" width="13.08984375" style="2" bestFit="1" customWidth="1"/>
    <col min="89" max="89" width="12.36328125" style="2" bestFit="1" customWidth="1"/>
    <col min="90" max="90" width="13.1796875" style="2" bestFit="1" customWidth="1"/>
    <col min="91" max="91" width="12.36328125" style="2" bestFit="1" customWidth="1"/>
    <col min="92" max="92" width="13.1796875" style="2" bestFit="1" customWidth="1"/>
    <col min="93" max="93" width="12.26953125" style="2" bestFit="1" customWidth="1"/>
    <col min="94" max="94" width="12.36328125" style="2" bestFit="1" customWidth="1"/>
    <col min="95" max="95" width="13.1796875" style="2" bestFit="1" customWidth="1"/>
    <col min="96" max="97" width="11.81640625" style="2" bestFit="1" customWidth="1"/>
    <col min="98" max="98" width="11.7265625" style="2" bestFit="1" customWidth="1"/>
    <col min="99" max="16384" width="8.6328125" style="2"/>
  </cols>
  <sheetData>
    <row r="2" spans="2:8" ht="27.75" customHeight="1" x14ac:dyDescent="0.4">
      <c r="B2" s="18" t="s">
        <v>20</v>
      </c>
      <c r="C2" s="18"/>
      <c r="D2" s="18"/>
      <c r="E2" s="18"/>
      <c r="F2" s="18"/>
      <c r="G2" s="18"/>
      <c r="H2" s="18"/>
    </row>
    <row r="4" spans="2:8" ht="15" customHeight="1" x14ac:dyDescent="0.4">
      <c r="B4" s="4" t="s">
        <v>107</v>
      </c>
      <c r="C4" s="4"/>
      <c r="D4" s="4"/>
      <c r="E4" s="4"/>
      <c r="F4" s="4"/>
      <c r="G4" s="4"/>
      <c r="H4" s="4"/>
    </row>
    <row r="5" spans="2:8" s="42" customFormat="1" ht="15" customHeight="1" x14ac:dyDescent="0.4">
      <c r="B5" s="41"/>
      <c r="C5" s="41"/>
      <c r="D5" s="41"/>
      <c r="E5" s="41"/>
      <c r="F5" s="41"/>
      <c r="G5" s="41"/>
      <c r="H5" s="41"/>
    </row>
    <row r="6" spans="2:8" x14ac:dyDescent="0.4">
      <c r="B6" s="72"/>
      <c r="C6" s="72"/>
      <c r="D6" s="72" t="s">
        <v>111</v>
      </c>
      <c r="E6" s="72"/>
      <c r="F6" s="72"/>
    </row>
    <row r="7" spans="2:8" x14ac:dyDescent="0.4">
      <c r="B7" s="72" t="s">
        <v>108</v>
      </c>
      <c r="C7" s="73">
        <f ca="1">+EOMONTH(F7,D7)</f>
        <v>46599</v>
      </c>
      <c r="D7" s="72">
        <v>15</v>
      </c>
      <c r="E7" s="72" t="s">
        <v>110</v>
      </c>
      <c r="F7" s="71">
        <f ca="1">+TODAY()</f>
        <v>46133</v>
      </c>
    </row>
    <row r="8" spans="2:8" x14ac:dyDescent="0.4">
      <c r="B8" s="72" t="s">
        <v>109</v>
      </c>
      <c r="C8" s="73">
        <f ca="1">+EOMONTH(C7,D7)</f>
        <v>47057</v>
      </c>
      <c r="D8" s="72"/>
      <c r="E8" s="72"/>
      <c r="F8" s="72"/>
    </row>
    <row r="13" spans="2:8" ht="15" customHeight="1" x14ac:dyDescent="0.4">
      <c r="B13" s="4" t="s">
        <v>21</v>
      </c>
      <c r="C13" s="4"/>
      <c r="D13" s="4"/>
      <c r="E13" s="4"/>
      <c r="F13" s="4"/>
      <c r="G13" s="4"/>
      <c r="H13" s="4"/>
    </row>
    <row r="14" spans="2:8" s="42" customFormat="1" ht="15" customHeight="1" x14ac:dyDescent="0.4">
      <c r="B14" s="41"/>
      <c r="C14" s="41"/>
      <c r="D14" s="41"/>
      <c r="E14" s="41"/>
      <c r="F14" s="41"/>
      <c r="G14" s="41"/>
      <c r="H14" s="41"/>
    </row>
    <row r="15" spans="2:8" ht="15" customHeight="1" x14ac:dyDescent="0.4">
      <c r="B15" s="5" t="s">
        <v>22</v>
      </c>
      <c r="C15" s="45"/>
      <c r="E15" s="10"/>
      <c r="F15" s="10"/>
      <c r="G15" s="10"/>
      <c r="H15" s="10"/>
    </row>
    <row r="16" spans="2:8" ht="15" customHeight="1" x14ac:dyDescent="0.4">
      <c r="B16" s="5" t="s">
        <v>23</v>
      </c>
      <c r="C16" s="45"/>
      <c r="E16" s="10"/>
      <c r="F16" s="10"/>
      <c r="G16" s="10"/>
      <c r="H16" s="10"/>
    </row>
    <row r="17" spans="2:8" ht="15" customHeight="1" x14ac:dyDescent="0.4">
      <c r="B17" s="5" t="s">
        <v>24</v>
      </c>
      <c r="C17" s="45"/>
      <c r="E17" s="10"/>
      <c r="F17" s="10"/>
      <c r="G17" s="10"/>
      <c r="H17" s="10"/>
    </row>
    <row r="18" spans="2:8" ht="15" customHeight="1" x14ac:dyDescent="0.4">
      <c r="B18" s="6" t="s">
        <v>98</v>
      </c>
      <c r="C18" s="11">
        <f>C15*C17</f>
        <v>0</v>
      </c>
    </row>
    <row r="20" spans="2:8" ht="15" customHeight="1" x14ac:dyDescent="0.4">
      <c r="B20" s="4" t="s">
        <v>25</v>
      </c>
      <c r="C20" s="4"/>
      <c r="D20" s="4"/>
      <c r="E20" s="4"/>
      <c r="F20" s="4"/>
      <c r="G20" s="4"/>
      <c r="H20" s="4"/>
    </row>
    <row r="21" spans="2:8" s="42" customFormat="1" ht="15" customHeight="1" x14ac:dyDescent="0.4">
      <c r="B21" s="41"/>
      <c r="C21" s="41"/>
      <c r="D21" s="41"/>
      <c r="E21" s="41"/>
      <c r="F21" s="41"/>
      <c r="G21" s="41"/>
      <c r="H21" s="41"/>
    </row>
    <row r="22" spans="2:8" s="42" customFormat="1" ht="15" customHeight="1" x14ac:dyDescent="0.4">
      <c r="B22" s="41"/>
      <c r="C22" s="43" t="s">
        <v>101</v>
      </c>
      <c r="D22" s="43" t="s">
        <v>32</v>
      </c>
      <c r="E22" s="43" t="s">
        <v>113</v>
      </c>
      <c r="F22" s="41"/>
      <c r="G22" s="41"/>
      <c r="H22" s="41"/>
    </row>
    <row r="23" spans="2:8" ht="15" customHeight="1" x14ac:dyDescent="0.4">
      <c r="B23" s="21" t="s">
        <v>26</v>
      </c>
      <c r="C23" s="44">
        <f>+IFERROR(D23*$C$15,0)</f>
        <v>0</v>
      </c>
      <c r="D23" s="45"/>
      <c r="E23" s="10"/>
      <c r="F23" s="10"/>
      <c r="G23" s="10"/>
      <c r="H23" s="10"/>
    </row>
    <row r="24" spans="2:8" ht="15" customHeight="1" x14ac:dyDescent="0.4">
      <c r="B24" s="21" t="s">
        <v>27</v>
      </c>
      <c r="C24" s="44">
        <f>+IFERROR(E24*$C$23,0)</f>
        <v>0</v>
      </c>
      <c r="D24" s="44">
        <f t="shared" ref="D24:D27" si="0">+IFERROR(C24/$C$15,0)</f>
        <v>0</v>
      </c>
      <c r="E24" s="78">
        <v>0</v>
      </c>
      <c r="F24" s="10"/>
      <c r="G24" s="10"/>
      <c r="H24" s="10"/>
    </row>
    <row r="25" spans="2:8" ht="15" customHeight="1" x14ac:dyDescent="0.4">
      <c r="B25" s="15" t="s">
        <v>99</v>
      </c>
      <c r="C25" s="44">
        <f t="shared" ref="C25:C27" si="1">+IFERROR(E25*$C$23,0)</f>
        <v>0</v>
      </c>
      <c r="D25" s="44">
        <f t="shared" si="0"/>
        <v>0</v>
      </c>
      <c r="E25" s="78">
        <v>0</v>
      </c>
      <c r="F25" s="10"/>
      <c r="G25" s="10"/>
      <c r="H25" s="10"/>
    </row>
    <row r="26" spans="2:8" ht="15" customHeight="1" x14ac:dyDescent="0.4">
      <c r="B26" s="15" t="s">
        <v>100</v>
      </c>
      <c r="C26" s="44">
        <f t="shared" si="1"/>
        <v>0</v>
      </c>
      <c r="D26" s="44">
        <f t="shared" si="0"/>
        <v>0</v>
      </c>
      <c r="E26" s="78">
        <v>0</v>
      </c>
      <c r="F26" s="10"/>
      <c r="G26" s="10"/>
      <c r="H26" s="10"/>
    </row>
    <row r="27" spans="2:8" ht="15" customHeight="1" x14ac:dyDescent="0.4">
      <c r="B27" s="15" t="s">
        <v>112</v>
      </c>
      <c r="C27" s="44">
        <f t="shared" si="1"/>
        <v>0</v>
      </c>
      <c r="D27" s="44">
        <f t="shared" si="0"/>
        <v>0</v>
      </c>
      <c r="E27" s="78">
        <v>0</v>
      </c>
      <c r="F27" s="10"/>
      <c r="G27" s="10"/>
      <c r="H27" s="10"/>
    </row>
    <row r="28" spans="2:8" ht="15" customHeight="1" x14ac:dyDescent="0.4">
      <c r="B28" s="21" t="s">
        <v>115</v>
      </c>
      <c r="C28" s="44">
        <f>+IFERROR(D28*$C$15,0)</f>
        <v>0</v>
      </c>
      <c r="D28" s="45"/>
      <c r="E28" s="10"/>
      <c r="F28" s="10"/>
      <c r="G28" s="10"/>
      <c r="H28" s="10"/>
    </row>
    <row r="29" spans="2:8" ht="15" customHeight="1" x14ac:dyDescent="0.4">
      <c r="B29" s="21" t="s">
        <v>114</v>
      </c>
      <c r="C29" s="44">
        <f>+IFERROR(D29*$C$15,0)</f>
        <v>0</v>
      </c>
      <c r="D29" s="45"/>
      <c r="E29" s="10"/>
      <c r="F29" s="10"/>
      <c r="G29" s="10"/>
      <c r="H29" s="10"/>
    </row>
    <row r="30" spans="2:8" ht="15" customHeight="1" x14ac:dyDescent="0.4">
      <c r="B30" s="21" t="s">
        <v>28</v>
      </c>
      <c r="C30" s="44">
        <f>+IFERROR(SUM(C28:C29)*E30,0)</f>
        <v>0</v>
      </c>
      <c r="D30" s="44">
        <f>+IFERROR(C30/C15,0)</f>
        <v>0</v>
      </c>
      <c r="E30" s="78">
        <v>0</v>
      </c>
      <c r="F30" s="10"/>
      <c r="G30" s="10"/>
      <c r="H30" s="10"/>
    </row>
    <row r="31" spans="2:8" ht="15" customHeight="1" x14ac:dyDescent="0.4">
      <c r="B31" s="21" t="s">
        <v>29</v>
      </c>
      <c r="C31" s="45"/>
      <c r="D31" s="44">
        <f>+IFERROR(C31/$C$15,0)</f>
        <v>0</v>
      </c>
      <c r="E31" s="10"/>
      <c r="F31" s="10"/>
      <c r="G31" s="10"/>
      <c r="H31" s="10"/>
    </row>
    <row r="33" spans="2:8" ht="15" customHeight="1" x14ac:dyDescent="0.4">
      <c r="B33" s="4" t="s">
        <v>30</v>
      </c>
      <c r="C33" s="4"/>
      <c r="D33" s="4"/>
      <c r="E33" s="4"/>
      <c r="F33" s="4"/>
      <c r="G33" s="4"/>
      <c r="H33" s="4"/>
    </row>
    <row r="34" spans="2:8" ht="15" customHeight="1" x14ac:dyDescent="0.4">
      <c r="B34" s="19"/>
      <c r="C34" s="19"/>
      <c r="D34" s="19"/>
      <c r="E34" s="19"/>
      <c r="F34" s="19"/>
      <c r="G34" s="19"/>
      <c r="H34" s="19"/>
    </row>
    <row r="35" spans="2:8" ht="15" customHeight="1" x14ac:dyDescent="0.4">
      <c r="B35" s="6" t="s">
        <v>31</v>
      </c>
      <c r="C35" s="43" t="s">
        <v>101</v>
      </c>
      <c r="D35" s="12" t="s">
        <v>32</v>
      </c>
    </row>
    <row r="36" spans="2:8" ht="15" customHeight="1" x14ac:dyDescent="0.4">
      <c r="B36" s="13" t="s">
        <v>33</v>
      </c>
      <c r="C36" s="45"/>
      <c r="D36" s="45"/>
      <c r="E36" s="10"/>
      <c r="F36" s="10"/>
      <c r="G36" s="10"/>
      <c r="H36" s="10"/>
    </row>
    <row r="37" spans="2:8" ht="15" customHeight="1" x14ac:dyDescent="0.4">
      <c r="B37" s="13" t="s">
        <v>34</v>
      </c>
      <c r="C37" s="45"/>
      <c r="D37" s="45"/>
      <c r="E37" s="10"/>
      <c r="F37" s="10"/>
      <c r="G37" s="10"/>
      <c r="H37" s="10"/>
    </row>
    <row r="38" spans="2:8" ht="15" customHeight="1" x14ac:dyDescent="0.4">
      <c r="B38" s="13" t="s">
        <v>35</v>
      </c>
      <c r="C38" s="45"/>
      <c r="D38" s="45"/>
      <c r="E38" s="10"/>
      <c r="F38" s="10"/>
      <c r="G38" s="10"/>
      <c r="H38" s="10"/>
    </row>
    <row r="39" spans="2:8" ht="15" customHeight="1" x14ac:dyDescent="0.4">
      <c r="B39" s="13" t="s">
        <v>36</v>
      </c>
      <c r="C39" s="45"/>
      <c r="D39" s="45"/>
      <c r="E39" s="10"/>
      <c r="F39" s="10"/>
      <c r="G39" s="10"/>
      <c r="H39" s="10"/>
    </row>
    <row r="40" spans="2:8" ht="15" customHeight="1" x14ac:dyDescent="0.4">
      <c r="B40" s="13" t="s">
        <v>37</v>
      </c>
      <c r="C40" s="45"/>
      <c r="D40" s="45"/>
      <c r="E40" s="10"/>
      <c r="F40" s="10"/>
      <c r="G40" s="10"/>
      <c r="H40" s="10"/>
    </row>
    <row r="41" spans="2:8" ht="15" customHeight="1" x14ac:dyDescent="0.4">
      <c r="B41" s="6" t="s">
        <v>38</v>
      </c>
      <c r="C41" s="14">
        <f>SUM(C36:C40)</f>
        <v>0</v>
      </c>
      <c r="D41" s="14">
        <f>SUM(D36:D40)</f>
        <v>0</v>
      </c>
      <c r="E41" s="10"/>
      <c r="F41" s="10"/>
      <c r="G41" s="10"/>
      <c r="H41" s="10"/>
    </row>
    <row r="42" spans="2:8" ht="15" customHeight="1" x14ac:dyDescent="0.4">
      <c r="B42" s="15" t="s">
        <v>39</v>
      </c>
      <c r="C42" s="16">
        <f>C41-C28</f>
        <v>0</v>
      </c>
      <c r="D42" s="16">
        <f>D41-D28</f>
        <v>0</v>
      </c>
      <c r="E42" s="10"/>
      <c r="F42" s="10"/>
      <c r="G42" s="10"/>
      <c r="H42" s="10"/>
    </row>
    <row r="44" spans="2:8" ht="15" customHeight="1" x14ac:dyDescent="0.4">
      <c r="B44" s="6" t="s">
        <v>40</v>
      </c>
      <c r="C44" s="43" t="s">
        <v>101</v>
      </c>
      <c r="D44" s="12" t="s">
        <v>32</v>
      </c>
    </row>
    <row r="45" spans="2:8" ht="15" customHeight="1" x14ac:dyDescent="0.4">
      <c r="B45" s="13" t="s">
        <v>41</v>
      </c>
      <c r="C45" s="45"/>
      <c r="D45" s="45"/>
      <c r="E45" s="10"/>
      <c r="F45" s="10"/>
      <c r="G45" s="10"/>
      <c r="H45" s="10"/>
    </row>
    <row r="46" spans="2:8" ht="15" customHeight="1" x14ac:dyDescent="0.4">
      <c r="B46" s="13" t="s">
        <v>42</v>
      </c>
      <c r="C46" s="45"/>
      <c r="D46" s="45"/>
      <c r="E46" s="10"/>
      <c r="F46" s="10"/>
      <c r="G46" s="10"/>
      <c r="H46" s="10"/>
    </row>
    <row r="47" spans="2:8" ht="15" customHeight="1" x14ac:dyDescent="0.4">
      <c r="B47" s="13" t="s">
        <v>43</v>
      </c>
      <c r="C47" s="45"/>
      <c r="D47" s="45"/>
      <c r="E47" s="10"/>
      <c r="F47" s="10"/>
      <c r="G47" s="10"/>
      <c r="H47" s="10"/>
    </row>
    <row r="48" spans="2:8" ht="15" customHeight="1" x14ac:dyDescent="0.4">
      <c r="B48" s="13" t="s">
        <v>44</v>
      </c>
      <c r="C48" s="45"/>
      <c r="D48" s="45"/>
      <c r="E48" s="10"/>
      <c r="F48" s="10"/>
      <c r="G48" s="10"/>
      <c r="H48" s="10"/>
    </row>
    <row r="49" spans="2:98" ht="15" customHeight="1" x14ac:dyDescent="0.4">
      <c r="B49" s="6" t="s">
        <v>45</v>
      </c>
      <c r="C49" s="14">
        <f>SUM(C45:C48)</f>
        <v>0</v>
      </c>
      <c r="D49" s="14">
        <f>SUM(D45:D48)</f>
        <v>0</v>
      </c>
      <c r="E49" s="10"/>
      <c r="F49" s="10"/>
      <c r="G49" s="10"/>
      <c r="H49" s="10"/>
    </row>
    <row r="50" spans="2:98" ht="15" customHeight="1" x14ac:dyDescent="0.4">
      <c r="B50" s="15" t="s">
        <v>39</v>
      </c>
      <c r="C50" s="16">
        <f>C49-C29</f>
        <v>0</v>
      </c>
      <c r="D50" s="16">
        <f>D49-D29</f>
        <v>0</v>
      </c>
      <c r="E50" s="10"/>
      <c r="F50" s="10"/>
      <c r="G50" s="10"/>
      <c r="H50" s="10"/>
    </row>
    <row r="52" spans="2:98" ht="15" customHeight="1" x14ac:dyDescent="0.4">
      <c r="B52" s="4" t="s">
        <v>46</v>
      </c>
      <c r="C52" s="4"/>
      <c r="D52" s="4"/>
      <c r="E52" s="4"/>
      <c r="F52" s="4"/>
      <c r="G52" s="4"/>
      <c r="H52" s="4"/>
    </row>
    <row r="53" spans="2:98" s="42" customFormat="1" ht="15" customHeight="1" x14ac:dyDescent="0.4">
      <c r="B53" s="41"/>
      <c r="C53" s="41"/>
      <c r="D53" s="41"/>
      <c r="E53" s="41"/>
      <c r="F53" s="41"/>
      <c r="G53" s="41"/>
      <c r="H53" s="41"/>
    </row>
    <row r="54" spans="2:98" s="42" customFormat="1" ht="15" customHeight="1" x14ac:dyDescent="0.4">
      <c r="B54" s="41"/>
      <c r="C54" s="43" t="s">
        <v>101</v>
      </c>
      <c r="D54" s="12" t="s">
        <v>32</v>
      </c>
      <c r="E54" s="41"/>
      <c r="F54" s="41"/>
      <c r="G54" s="41"/>
      <c r="H54" s="41"/>
    </row>
    <row r="55" spans="2:98" ht="15" customHeight="1" x14ac:dyDescent="0.4">
      <c r="B55" s="5" t="s">
        <v>47</v>
      </c>
      <c r="C55" s="45"/>
      <c r="D55" s="45"/>
      <c r="E55" s="10"/>
      <c r="F55" s="10"/>
      <c r="G55" s="10"/>
      <c r="H55" s="10"/>
    </row>
    <row r="56" spans="2:98" ht="15" customHeight="1" x14ac:dyDescent="0.4">
      <c r="B56" s="5" t="s">
        <v>141</v>
      </c>
      <c r="C56" s="45"/>
      <c r="D56" s="114"/>
      <c r="E56" s="10"/>
      <c r="F56" s="10"/>
      <c r="G56" s="10"/>
      <c r="H56" s="10"/>
    </row>
    <row r="57" spans="2:98" ht="15" customHeight="1" x14ac:dyDescent="0.4">
      <c r="B57" s="5" t="s">
        <v>48</v>
      </c>
      <c r="C57" s="45"/>
      <c r="D57" s="114"/>
      <c r="E57" s="10"/>
      <c r="F57" s="10"/>
      <c r="G57" s="10"/>
      <c r="H57" s="10"/>
    </row>
    <row r="58" spans="2:98" ht="15" customHeight="1" x14ac:dyDescent="0.4">
      <c r="B58" s="5" t="s">
        <v>142</v>
      </c>
      <c r="C58" s="45"/>
      <c r="D58" s="114"/>
      <c r="E58" s="10"/>
      <c r="F58" s="10"/>
      <c r="G58" s="10"/>
      <c r="H58" s="10"/>
    </row>
    <row r="60" spans="2:98" ht="15" customHeight="1" x14ac:dyDescent="0.4">
      <c r="B60" s="4" t="s">
        <v>49</v>
      </c>
      <c r="C60" s="4"/>
      <c r="D60" s="4"/>
      <c r="E60" s="4"/>
      <c r="F60" s="4"/>
      <c r="G60" s="4"/>
      <c r="H60" s="4"/>
    </row>
    <row r="61" spans="2:98" s="42" customFormat="1" ht="15" customHeight="1" x14ac:dyDescent="0.4">
      <c r="B61" s="41"/>
      <c r="C61" s="41"/>
      <c r="D61" s="41"/>
      <c r="E61" s="41"/>
      <c r="F61" s="41"/>
      <c r="G61" s="41"/>
      <c r="H61" s="41"/>
      <c r="I61" s="42">
        <v>1</v>
      </c>
      <c r="J61" s="42">
        <f>+I61+1</f>
        <v>2</v>
      </c>
      <c r="K61" s="42">
        <f t="shared" ref="K61:BV61" si="2">+J61+1</f>
        <v>3</v>
      </c>
      <c r="L61" s="42">
        <f t="shared" si="2"/>
        <v>4</v>
      </c>
      <c r="M61" s="42">
        <f t="shared" si="2"/>
        <v>5</v>
      </c>
      <c r="N61" s="42">
        <f t="shared" si="2"/>
        <v>6</v>
      </c>
      <c r="O61" s="42">
        <f t="shared" si="2"/>
        <v>7</v>
      </c>
      <c r="P61" s="42">
        <f t="shared" si="2"/>
        <v>8</v>
      </c>
      <c r="Q61" s="42">
        <f t="shared" si="2"/>
        <v>9</v>
      </c>
      <c r="R61" s="42">
        <f t="shared" si="2"/>
        <v>10</v>
      </c>
      <c r="S61" s="42">
        <f t="shared" si="2"/>
        <v>11</v>
      </c>
      <c r="T61" s="42">
        <f t="shared" si="2"/>
        <v>12</v>
      </c>
      <c r="U61" s="42">
        <f t="shared" si="2"/>
        <v>13</v>
      </c>
      <c r="V61" s="42">
        <f t="shared" si="2"/>
        <v>14</v>
      </c>
      <c r="W61" s="42">
        <f t="shared" si="2"/>
        <v>15</v>
      </c>
      <c r="X61" s="42">
        <f t="shared" si="2"/>
        <v>16</v>
      </c>
      <c r="Y61" s="42">
        <f t="shared" si="2"/>
        <v>17</v>
      </c>
      <c r="Z61" s="42">
        <f t="shared" si="2"/>
        <v>18</v>
      </c>
      <c r="AA61" s="42">
        <f t="shared" si="2"/>
        <v>19</v>
      </c>
      <c r="AB61" s="42">
        <f t="shared" si="2"/>
        <v>20</v>
      </c>
      <c r="AC61" s="42">
        <f t="shared" si="2"/>
        <v>21</v>
      </c>
      <c r="AD61" s="42">
        <f t="shared" si="2"/>
        <v>22</v>
      </c>
      <c r="AE61" s="42">
        <f t="shared" si="2"/>
        <v>23</v>
      </c>
      <c r="AF61" s="42">
        <f t="shared" si="2"/>
        <v>24</v>
      </c>
      <c r="AG61" s="42">
        <f t="shared" si="2"/>
        <v>25</v>
      </c>
      <c r="AH61" s="42">
        <f t="shared" si="2"/>
        <v>26</v>
      </c>
      <c r="AI61" s="42">
        <f t="shared" si="2"/>
        <v>27</v>
      </c>
      <c r="AJ61" s="42">
        <f t="shared" si="2"/>
        <v>28</v>
      </c>
      <c r="AK61" s="42">
        <f t="shared" si="2"/>
        <v>29</v>
      </c>
      <c r="AL61" s="42">
        <f t="shared" si="2"/>
        <v>30</v>
      </c>
      <c r="AM61" s="42">
        <f t="shared" si="2"/>
        <v>31</v>
      </c>
      <c r="AN61" s="42">
        <f t="shared" si="2"/>
        <v>32</v>
      </c>
      <c r="AO61" s="42">
        <f t="shared" si="2"/>
        <v>33</v>
      </c>
      <c r="AP61" s="42">
        <f t="shared" si="2"/>
        <v>34</v>
      </c>
      <c r="AQ61" s="42">
        <f t="shared" si="2"/>
        <v>35</v>
      </c>
      <c r="AR61" s="42">
        <f t="shared" si="2"/>
        <v>36</v>
      </c>
      <c r="AS61" s="42">
        <f t="shared" si="2"/>
        <v>37</v>
      </c>
      <c r="AT61" s="42">
        <f t="shared" si="2"/>
        <v>38</v>
      </c>
      <c r="AU61" s="42">
        <f t="shared" si="2"/>
        <v>39</v>
      </c>
      <c r="AV61" s="42">
        <f t="shared" si="2"/>
        <v>40</v>
      </c>
      <c r="AW61" s="42">
        <f t="shared" si="2"/>
        <v>41</v>
      </c>
      <c r="AX61" s="42">
        <f t="shared" si="2"/>
        <v>42</v>
      </c>
      <c r="AY61" s="42">
        <f t="shared" si="2"/>
        <v>43</v>
      </c>
      <c r="AZ61" s="42">
        <f t="shared" si="2"/>
        <v>44</v>
      </c>
      <c r="BA61" s="42">
        <f t="shared" si="2"/>
        <v>45</v>
      </c>
      <c r="BB61" s="42">
        <f t="shared" si="2"/>
        <v>46</v>
      </c>
      <c r="BC61" s="42">
        <f t="shared" si="2"/>
        <v>47</v>
      </c>
      <c r="BD61" s="42">
        <f t="shared" si="2"/>
        <v>48</v>
      </c>
      <c r="BE61" s="42">
        <f t="shared" si="2"/>
        <v>49</v>
      </c>
      <c r="BF61" s="42">
        <f t="shared" si="2"/>
        <v>50</v>
      </c>
      <c r="BG61" s="42">
        <f t="shared" si="2"/>
        <v>51</v>
      </c>
      <c r="BH61" s="42">
        <f t="shared" si="2"/>
        <v>52</v>
      </c>
      <c r="BI61" s="42">
        <f t="shared" si="2"/>
        <v>53</v>
      </c>
      <c r="BJ61" s="42">
        <f t="shared" si="2"/>
        <v>54</v>
      </c>
      <c r="BK61" s="42">
        <f t="shared" si="2"/>
        <v>55</v>
      </c>
      <c r="BL61" s="42">
        <f t="shared" si="2"/>
        <v>56</v>
      </c>
      <c r="BM61" s="42">
        <f t="shared" si="2"/>
        <v>57</v>
      </c>
      <c r="BN61" s="42">
        <f t="shared" si="2"/>
        <v>58</v>
      </c>
      <c r="BO61" s="42">
        <f t="shared" si="2"/>
        <v>59</v>
      </c>
      <c r="BP61" s="42">
        <f t="shared" si="2"/>
        <v>60</v>
      </c>
      <c r="BQ61" s="42">
        <f t="shared" si="2"/>
        <v>61</v>
      </c>
      <c r="BR61" s="42">
        <f t="shared" si="2"/>
        <v>62</v>
      </c>
      <c r="BS61" s="42">
        <f t="shared" si="2"/>
        <v>63</v>
      </c>
      <c r="BT61" s="42">
        <f t="shared" si="2"/>
        <v>64</v>
      </c>
      <c r="BU61" s="42">
        <f t="shared" si="2"/>
        <v>65</v>
      </c>
      <c r="BV61" s="42">
        <f t="shared" si="2"/>
        <v>66</v>
      </c>
      <c r="BW61" s="42">
        <f t="shared" ref="BW61:CP61" si="3">+BV61+1</f>
        <v>67</v>
      </c>
      <c r="BX61" s="42">
        <f t="shared" si="3"/>
        <v>68</v>
      </c>
      <c r="BY61" s="42">
        <f t="shared" si="3"/>
        <v>69</v>
      </c>
      <c r="BZ61" s="42">
        <f t="shared" si="3"/>
        <v>70</v>
      </c>
      <c r="CA61" s="42">
        <f t="shared" si="3"/>
        <v>71</v>
      </c>
      <c r="CB61" s="42">
        <f t="shared" si="3"/>
        <v>72</v>
      </c>
      <c r="CC61" s="42">
        <f t="shared" si="3"/>
        <v>73</v>
      </c>
      <c r="CD61" s="42">
        <f t="shared" si="3"/>
        <v>74</v>
      </c>
      <c r="CE61" s="42">
        <f t="shared" si="3"/>
        <v>75</v>
      </c>
      <c r="CF61" s="42">
        <f t="shared" si="3"/>
        <v>76</v>
      </c>
      <c r="CG61" s="42">
        <f t="shared" si="3"/>
        <v>77</v>
      </c>
      <c r="CH61" s="42">
        <f t="shared" si="3"/>
        <v>78</v>
      </c>
      <c r="CI61" s="42">
        <f t="shared" si="3"/>
        <v>79</v>
      </c>
      <c r="CJ61" s="42">
        <f t="shared" si="3"/>
        <v>80</v>
      </c>
      <c r="CK61" s="42">
        <f t="shared" si="3"/>
        <v>81</v>
      </c>
      <c r="CL61" s="42">
        <f t="shared" si="3"/>
        <v>82</v>
      </c>
      <c r="CM61" s="42">
        <f t="shared" si="3"/>
        <v>83</v>
      </c>
      <c r="CN61" s="42">
        <f t="shared" si="3"/>
        <v>84</v>
      </c>
      <c r="CO61" s="42">
        <f t="shared" si="3"/>
        <v>85</v>
      </c>
      <c r="CP61" s="42">
        <f t="shared" si="3"/>
        <v>86</v>
      </c>
      <c r="CQ61" s="42">
        <f t="shared" ref="CQ61:CT61" si="4">+CP61+1</f>
        <v>87</v>
      </c>
      <c r="CR61" s="42">
        <f t="shared" si="4"/>
        <v>88</v>
      </c>
      <c r="CS61" s="42">
        <f t="shared" si="4"/>
        <v>89</v>
      </c>
      <c r="CT61" s="42">
        <f t="shared" si="4"/>
        <v>90</v>
      </c>
    </row>
    <row r="62" spans="2:98" s="42" customFormat="1" ht="15" customHeight="1" x14ac:dyDescent="0.4">
      <c r="B62" s="41"/>
      <c r="C62" s="41"/>
      <c r="D62" s="41"/>
      <c r="E62" s="41"/>
      <c r="F62" s="41"/>
      <c r="G62" s="41"/>
      <c r="H62" s="41"/>
      <c r="I62" s="115">
        <f ca="1">+C7</f>
        <v>46599</v>
      </c>
      <c r="J62" s="115">
        <f ca="1">+EOMONTH(I62,1)</f>
        <v>46630</v>
      </c>
      <c r="K62" s="115">
        <f t="shared" ref="K62:BV62" ca="1" si="5">+EOMONTH(J62,1)</f>
        <v>46660</v>
      </c>
      <c r="L62" s="115">
        <f t="shared" ca="1" si="5"/>
        <v>46691</v>
      </c>
      <c r="M62" s="115">
        <f t="shared" ca="1" si="5"/>
        <v>46721</v>
      </c>
      <c r="N62" s="115">
        <f t="shared" ca="1" si="5"/>
        <v>46752</v>
      </c>
      <c r="O62" s="115">
        <f t="shared" ca="1" si="5"/>
        <v>46783</v>
      </c>
      <c r="P62" s="115">
        <f t="shared" ca="1" si="5"/>
        <v>46812</v>
      </c>
      <c r="Q62" s="115">
        <f t="shared" ca="1" si="5"/>
        <v>46843</v>
      </c>
      <c r="R62" s="115">
        <f t="shared" ca="1" si="5"/>
        <v>46873</v>
      </c>
      <c r="S62" s="115">
        <f t="shared" ca="1" si="5"/>
        <v>46904</v>
      </c>
      <c r="T62" s="115">
        <f t="shared" ca="1" si="5"/>
        <v>46934</v>
      </c>
      <c r="U62" s="115">
        <f t="shared" ca="1" si="5"/>
        <v>46965</v>
      </c>
      <c r="V62" s="115">
        <f t="shared" ca="1" si="5"/>
        <v>46996</v>
      </c>
      <c r="W62" s="115">
        <f t="shared" ca="1" si="5"/>
        <v>47026</v>
      </c>
      <c r="X62" s="115">
        <f t="shared" ca="1" si="5"/>
        <v>47057</v>
      </c>
      <c r="Y62" s="115">
        <f t="shared" ca="1" si="5"/>
        <v>47087</v>
      </c>
      <c r="Z62" s="115">
        <f t="shared" ca="1" si="5"/>
        <v>47118</v>
      </c>
      <c r="AA62" s="115">
        <f t="shared" ca="1" si="5"/>
        <v>47149</v>
      </c>
      <c r="AB62" s="115">
        <f t="shared" ca="1" si="5"/>
        <v>47177</v>
      </c>
      <c r="AC62" s="115">
        <f t="shared" ca="1" si="5"/>
        <v>47208</v>
      </c>
      <c r="AD62" s="115">
        <f t="shared" ca="1" si="5"/>
        <v>47238</v>
      </c>
      <c r="AE62" s="115">
        <f t="shared" ca="1" si="5"/>
        <v>47269</v>
      </c>
      <c r="AF62" s="115">
        <f t="shared" ca="1" si="5"/>
        <v>47299</v>
      </c>
      <c r="AG62" s="115">
        <f t="shared" ca="1" si="5"/>
        <v>47330</v>
      </c>
      <c r="AH62" s="115">
        <f t="shared" ca="1" si="5"/>
        <v>47361</v>
      </c>
      <c r="AI62" s="115">
        <f t="shared" ca="1" si="5"/>
        <v>47391</v>
      </c>
      <c r="AJ62" s="115">
        <f t="shared" ca="1" si="5"/>
        <v>47422</v>
      </c>
      <c r="AK62" s="115">
        <f t="shared" ca="1" si="5"/>
        <v>47452</v>
      </c>
      <c r="AL62" s="115">
        <f t="shared" ca="1" si="5"/>
        <v>47483</v>
      </c>
      <c r="AM62" s="115">
        <f t="shared" ca="1" si="5"/>
        <v>47514</v>
      </c>
      <c r="AN62" s="115">
        <f t="shared" ca="1" si="5"/>
        <v>47542</v>
      </c>
      <c r="AO62" s="115">
        <f t="shared" ca="1" si="5"/>
        <v>47573</v>
      </c>
      <c r="AP62" s="115">
        <f t="shared" ca="1" si="5"/>
        <v>47603</v>
      </c>
      <c r="AQ62" s="115">
        <f t="shared" ca="1" si="5"/>
        <v>47634</v>
      </c>
      <c r="AR62" s="115">
        <f t="shared" ca="1" si="5"/>
        <v>47664</v>
      </c>
      <c r="AS62" s="115">
        <f t="shared" ca="1" si="5"/>
        <v>47695</v>
      </c>
      <c r="AT62" s="115">
        <f t="shared" ca="1" si="5"/>
        <v>47726</v>
      </c>
      <c r="AU62" s="115">
        <f t="shared" ca="1" si="5"/>
        <v>47756</v>
      </c>
      <c r="AV62" s="115">
        <f t="shared" ca="1" si="5"/>
        <v>47787</v>
      </c>
      <c r="AW62" s="115">
        <f t="shared" ca="1" si="5"/>
        <v>47817</v>
      </c>
      <c r="AX62" s="115">
        <f t="shared" ca="1" si="5"/>
        <v>47848</v>
      </c>
      <c r="AY62" s="115">
        <f t="shared" ca="1" si="5"/>
        <v>47879</v>
      </c>
      <c r="AZ62" s="115">
        <f t="shared" ca="1" si="5"/>
        <v>47907</v>
      </c>
      <c r="BA62" s="115">
        <f t="shared" ca="1" si="5"/>
        <v>47938</v>
      </c>
      <c r="BB62" s="115">
        <f t="shared" ca="1" si="5"/>
        <v>47968</v>
      </c>
      <c r="BC62" s="115">
        <f t="shared" ca="1" si="5"/>
        <v>47999</v>
      </c>
      <c r="BD62" s="115">
        <f t="shared" ca="1" si="5"/>
        <v>48029</v>
      </c>
      <c r="BE62" s="115">
        <f t="shared" ca="1" si="5"/>
        <v>48060</v>
      </c>
      <c r="BF62" s="115">
        <f t="shared" ca="1" si="5"/>
        <v>48091</v>
      </c>
      <c r="BG62" s="115">
        <f t="shared" ca="1" si="5"/>
        <v>48121</v>
      </c>
      <c r="BH62" s="115">
        <f t="shared" ca="1" si="5"/>
        <v>48152</v>
      </c>
      <c r="BI62" s="115">
        <f t="shared" ca="1" si="5"/>
        <v>48182</v>
      </c>
      <c r="BJ62" s="115">
        <f t="shared" ca="1" si="5"/>
        <v>48213</v>
      </c>
      <c r="BK62" s="115">
        <f t="shared" ca="1" si="5"/>
        <v>48244</v>
      </c>
      <c r="BL62" s="115">
        <f t="shared" ca="1" si="5"/>
        <v>48273</v>
      </c>
      <c r="BM62" s="115">
        <f t="shared" ca="1" si="5"/>
        <v>48304</v>
      </c>
      <c r="BN62" s="115">
        <f t="shared" ca="1" si="5"/>
        <v>48334</v>
      </c>
      <c r="BO62" s="115">
        <f t="shared" ca="1" si="5"/>
        <v>48365</v>
      </c>
      <c r="BP62" s="115">
        <f t="shared" ca="1" si="5"/>
        <v>48395</v>
      </c>
      <c r="BQ62" s="115">
        <f t="shared" ca="1" si="5"/>
        <v>48426</v>
      </c>
      <c r="BR62" s="115">
        <f t="shared" ca="1" si="5"/>
        <v>48457</v>
      </c>
      <c r="BS62" s="115">
        <f t="shared" ca="1" si="5"/>
        <v>48487</v>
      </c>
      <c r="BT62" s="115">
        <f t="shared" ca="1" si="5"/>
        <v>48518</v>
      </c>
      <c r="BU62" s="115">
        <f t="shared" ca="1" si="5"/>
        <v>48548</v>
      </c>
      <c r="BV62" s="115">
        <f t="shared" ca="1" si="5"/>
        <v>48579</v>
      </c>
      <c r="BW62" s="115">
        <f t="shared" ref="BW62:CP62" ca="1" si="6">+EOMONTH(BV62,1)</f>
        <v>48610</v>
      </c>
      <c r="BX62" s="115">
        <f t="shared" ca="1" si="6"/>
        <v>48638</v>
      </c>
      <c r="BY62" s="115">
        <f t="shared" ca="1" si="6"/>
        <v>48669</v>
      </c>
      <c r="BZ62" s="115">
        <f t="shared" ca="1" si="6"/>
        <v>48699</v>
      </c>
      <c r="CA62" s="115">
        <f t="shared" ca="1" si="6"/>
        <v>48730</v>
      </c>
      <c r="CB62" s="115">
        <f t="shared" ca="1" si="6"/>
        <v>48760</v>
      </c>
      <c r="CC62" s="115">
        <f t="shared" ca="1" si="6"/>
        <v>48791</v>
      </c>
      <c r="CD62" s="115">
        <f t="shared" ca="1" si="6"/>
        <v>48822</v>
      </c>
      <c r="CE62" s="115">
        <f t="shared" ca="1" si="6"/>
        <v>48852</v>
      </c>
      <c r="CF62" s="115">
        <f t="shared" ca="1" si="6"/>
        <v>48883</v>
      </c>
      <c r="CG62" s="115">
        <f t="shared" ca="1" si="6"/>
        <v>48913</v>
      </c>
      <c r="CH62" s="115">
        <f t="shared" ca="1" si="6"/>
        <v>48944</v>
      </c>
      <c r="CI62" s="115">
        <f t="shared" ca="1" si="6"/>
        <v>48975</v>
      </c>
      <c r="CJ62" s="115">
        <f t="shared" ca="1" si="6"/>
        <v>49003</v>
      </c>
      <c r="CK62" s="115">
        <f t="shared" ca="1" si="6"/>
        <v>49034</v>
      </c>
      <c r="CL62" s="115">
        <f t="shared" ca="1" si="6"/>
        <v>49064</v>
      </c>
      <c r="CM62" s="115">
        <f t="shared" ca="1" si="6"/>
        <v>49095</v>
      </c>
      <c r="CN62" s="115">
        <f t="shared" ca="1" si="6"/>
        <v>49125</v>
      </c>
      <c r="CO62" s="115">
        <f t="shared" ca="1" si="6"/>
        <v>49156</v>
      </c>
      <c r="CP62" s="115">
        <f t="shared" ca="1" si="6"/>
        <v>49187</v>
      </c>
      <c r="CQ62" s="115">
        <f t="shared" ref="CQ62:CT62" ca="1" si="7">+EOMONTH(CP62,1)</f>
        <v>49217</v>
      </c>
      <c r="CR62" s="115">
        <f t="shared" ca="1" si="7"/>
        <v>49248</v>
      </c>
      <c r="CS62" s="115">
        <f t="shared" ca="1" si="7"/>
        <v>49278</v>
      </c>
      <c r="CT62" s="115">
        <f t="shared" ca="1" si="7"/>
        <v>49309</v>
      </c>
    </row>
    <row r="63" spans="2:98" s="42" customFormat="1" ht="15" customHeight="1" x14ac:dyDescent="0.4">
      <c r="B63" s="41"/>
      <c r="C63" s="41"/>
      <c r="D63" s="41"/>
      <c r="E63" s="41"/>
      <c r="F63" s="41"/>
      <c r="G63" s="41"/>
      <c r="H63" s="41"/>
    </row>
    <row r="64" spans="2:98" s="42" customFormat="1" ht="15" customHeight="1" x14ac:dyDescent="0.4">
      <c r="B64" s="41"/>
      <c r="C64" s="43" t="s">
        <v>143</v>
      </c>
      <c r="D64" s="70" t="s">
        <v>111</v>
      </c>
      <c r="E64" s="70" t="s">
        <v>144</v>
      </c>
      <c r="F64" s="41"/>
      <c r="G64" s="41"/>
      <c r="H64" s="41"/>
    </row>
    <row r="65" spans="2:98" ht="15" customHeight="1" x14ac:dyDescent="0.4">
      <c r="B65" s="5" t="s">
        <v>50</v>
      </c>
      <c r="C65" s="74">
        <v>1</v>
      </c>
      <c r="D65" s="74">
        <v>5</v>
      </c>
      <c r="E65" s="74">
        <f>+D65+C65</f>
        <v>6</v>
      </c>
      <c r="F65" s="10"/>
      <c r="G65" s="10"/>
      <c r="H65" s="10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</row>
    <row r="66" spans="2:98" ht="15" customHeight="1" x14ac:dyDescent="0.4">
      <c r="B66" s="5" t="s">
        <v>51</v>
      </c>
      <c r="C66" s="74">
        <f>+E65</f>
        <v>6</v>
      </c>
      <c r="D66" s="74">
        <v>5</v>
      </c>
      <c r="E66" s="74">
        <f t="shared" ref="E66:E68" si="8">+D66+C66</f>
        <v>11</v>
      </c>
      <c r="F66" s="10"/>
      <c r="G66" s="10"/>
      <c r="H66" s="10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</row>
    <row r="67" spans="2:98" ht="15" customHeight="1" x14ac:dyDescent="0.4">
      <c r="B67" s="5" t="s">
        <v>52</v>
      </c>
      <c r="C67" s="74">
        <f t="shared" ref="C67:C68" si="9">+E66</f>
        <v>11</v>
      </c>
      <c r="D67" s="74">
        <v>5</v>
      </c>
      <c r="E67" s="74">
        <f t="shared" si="8"/>
        <v>16</v>
      </c>
      <c r="F67" s="10"/>
      <c r="G67" s="10"/>
      <c r="H67" s="10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</row>
    <row r="68" spans="2:98" ht="15" customHeight="1" x14ac:dyDescent="0.4">
      <c r="B68" s="5" t="s">
        <v>53</v>
      </c>
      <c r="C68" s="74">
        <f t="shared" si="9"/>
        <v>16</v>
      </c>
      <c r="D68" s="74">
        <v>5</v>
      </c>
      <c r="E68" s="74">
        <f t="shared" si="8"/>
        <v>21</v>
      </c>
      <c r="F68" s="10"/>
      <c r="G68" s="10"/>
      <c r="H68" s="10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</row>
    <row r="71" spans="2:98" ht="15" customHeight="1" x14ac:dyDescent="0.4">
      <c r="B71" s="4" t="s">
        <v>54</v>
      </c>
      <c r="C71" s="4"/>
      <c r="D71" s="4"/>
      <c r="E71" s="4"/>
      <c r="F71" s="4"/>
      <c r="G71" s="4"/>
      <c r="H71" s="4"/>
    </row>
    <row r="72" spans="2:98" s="42" customFormat="1" ht="15" customHeight="1" x14ac:dyDescent="0.4">
      <c r="B72" s="41"/>
      <c r="C72" s="41"/>
      <c r="D72" s="41"/>
      <c r="E72" s="41"/>
      <c r="F72" s="41"/>
      <c r="G72" s="41"/>
      <c r="H72" s="41"/>
    </row>
    <row r="73" spans="2:98" s="42" customFormat="1" ht="15" customHeight="1" x14ac:dyDescent="0.4">
      <c r="B73" s="41"/>
      <c r="C73" s="43" t="s">
        <v>101</v>
      </c>
      <c r="D73" s="70" t="s">
        <v>32</v>
      </c>
      <c r="E73" s="41"/>
      <c r="F73" s="41"/>
      <c r="G73" s="41"/>
      <c r="H73" s="41"/>
    </row>
    <row r="74" spans="2:98" ht="15" customHeight="1" x14ac:dyDescent="0.4">
      <c r="B74" s="5" t="s">
        <v>55</v>
      </c>
      <c r="C74" s="45"/>
      <c r="D74" s="45"/>
      <c r="E74" s="10"/>
      <c r="F74" s="10"/>
      <c r="G74" s="10"/>
      <c r="H74" s="10"/>
    </row>
    <row r="75" spans="2:98" ht="15" customHeight="1" x14ac:dyDescent="0.4">
      <c r="B75" s="5" t="s">
        <v>56</v>
      </c>
      <c r="C75" s="45"/>
      <c r="D75" s="45"/>
      <c r="E75" s="10"/>
      <c r="F75" s="10"/>
      <c r="G75" s="10"/>
      <c r="H75" s="10"/>
    </row>
    <row r="76" spans="2:98" ht="15" customHeight="1" x14ac:dyDescent="0.4">
      <c r="B76" s="5" t="s">
        <v>57</v>
      </c>
      <c r="C76" s="45"/>
      <c r="D76" s="45"/>
      <c r="E76" s="10"/>
      <c r="F76" s="10"/>
      <c r="G76" s="10"/>
      <c r="H76" s="10"/>
    </row>
    <row r="77" spans="2:98" ht="15" customHeight="1" x14ac:dyDescent="0.4">
      <c r="B77" s="5" t="s">
        <v>58</v>
      </c>
      <c r="C77" s="45"/>
      <c r="D77" s="45"/>
      <c r="E77" s="10"/>
      <c r="F77" s="10"/>
      <c r="G77" s="10"/>
      <c r="H77" s="10"/>
    </row>
    <row r="78" spans="2:98" ht="15" customHeight="1" x14ac:dyDescent="0.4">
      <c r="B78" s="15" t="s">
        <v>59</v>
      </c>
      <c r="C78" s="17">
        <f>C74+C75+C76</f>
        <v>0</v>
      </c>
      <c r="D78" s="17">
        <f>D74+D75+D76</f>
        <v>0</v>
      </c>
    </row>
  </sheetData>
  <conditionalFormatting sqref="I65:CP68">
    <cfRule type="expression" dxfId="0" priority="1">
      <formula>AND(I$61&gt;=$C65,I$61&lt;$E65)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76"/>
  <sheetViews>
    <sheetView showGridLines="0" zoomScale="115" zoomScaleNormal="115" workbookViewId="0">
      <selection activeCell="B17" sqref="B17"/>
    </sheetView>
  </sheetViews>
  <sheetFormatPr defaultColWidth="8.6328125" defaultRowHeight="15" x14ac:dyDescent="0.4"/>
  <cols>
    <col min="1" max="1" width="2" style="25" customWidth="1"/>
    <col min="2" max="2" width="36" style="25" customWidth="1"/>
    <col min="3" max="3" width="9.54296875" style="25" bestFit="1" customWidth="1"/>
    <col min="4" max="7" width="9.54296875" style="84" customWidth="1"/>
    <col min="8" max="67" width="12" style="25" customWidth="1"/>
    <col min="68" max="16384" width="8.6328125" style="25"/>
  </cols>
  <sheetData>
    <row r="1" spans="1:67" ht="14.5" customHeight="1" x14ac:dyDescent="0.4">
      <c r="A1" s="24" t="s">
        <v>76</v>
      </c>
      <c r="B1" s="24"/>
      <c r="C1" s="24"/>
      <c r="D1" s="88"/>
      <c r="E1" s="88"/>
      <c r="F1" s="88"/>
      <c r="G1" s="88"/>
      <c r="H1" s="82"/>
    </row>
    <row r="2" spans="1:67" ht="25.5" customHeight="1" x14ac:dyDescent="0.4">
      <c r="A2" s="24"/>
      <c r="B2" s="24"/>
      <c r="C2" s="24"/>
      <c r="D2" s="88"/>
      <c r="E2" s="88"/>
      <c r="F2" s="88"/>
      <c r="G2" s="88"/>
      <c r="H2" s="82"/>
    </row>
    <row r="3" spans="1:67" x14ac:dyDescent="0.4">
      <c r="H3" s="85"/>
    </row>
    <row r="4" spans="1:67" ht="15" customHeight="1" x14ac:dyDescent="0.4">
      <c r="B4" s="4" t="s">
        <v>77</v>
      </c>
      <c r="C4" s="4"/>
      <c r="D4" s="89"/>
      <c r="E4" s="89"/>
      <c r="F4" s="89"/>
      <c r="G4" s="89"/>
      <c r="H4" s="41"/>
    </row>
    <row r="5" spans="1:67" ht="15" customHeight="1" x14ac:dyDescent="0.4">
      <c r="B5" s="26" t="s">
        <v>75</v>
      </c>
      <c r="C5" s="27">
        <f>Inputs!D55</f>
        <v>0</v>
      </c>
      <c r="D5" s="90"/>
      <c r="E5" s="90"/>
      <c r="F5" s="90"/>
      <c r="G5" s="90"/>
      <c r="H5" s="19"/>
      <c r="I5" s="19"/>
      <c r="J5" s="19"/>
      <c r="K5" s="19"/>
      <c r="L5" s="19"/>
      <c r="M5" s="19"/>
    </row>
    <row r="6" spans="1:67" ht="15" customHeight="1" x14ac:dyDescent="0.4">
      <c r="B6" s="28" t="s">
        <v>78</v>
      </c>
      <c r="C6" s="29">
        <f>SUM(H73:BO73)+SUM(H72:BO72)</f>
        <v>0</v>
      </c>
      <c r="D6" s="91"/>
      <c r="E6" s="91"/>
      <c r="F6" s="91"/>
      <c r="G6" s="91"/>
    </row>
    <row r="7" spans="1:67" ht="15" customHeight="1" x14ac:dyDescent="0.4">
      <c r="B7" s="26" t="s">
        <v>79</v>
      </c>
      <c r="C7" s="27" t="e">
        <f>MAX(H76:BO76)</f>
        <v>#REF!</v>
      </c>
      <c r="D7" s="90"/>
      <c r="E7" s="90"/>
      <c r="F7" s="90"/>
      <c r="G7" s="90"/>
    </row>
    <row r="8" spans="1:67" ht="15" customHeight="1" x14ac:dyDescent="0.4">
      <c r="B8" s="28" t="s">
        <v>80</v>
      </c>
      <c r="C8" s="30" t="e">
        <f>MATCH(C7,H76:BO76,0)</f>
        <v>#REF!</v>
      </c>
      <c r="D8" s="92"/>
      <c r="E8" s="92"/>
      <c r="F8" s="92"/>
      <c r="G8" s="92"/>
    </row>
    <row r="9" spans="1:67" ht="15" customHeight="1" x14ac:dyDescent="0.4">
      <c r="B9" s="26" t="s">
        <v>17</v>
      </c>
      <c r="C9" s="31">
        <f>COUNTIF(H76:BO76,"&gt;=1")</f>
        <v>0</v>
      </c>
      <c r="D9" s="93"/>
      <c r="E9" s="93"/>
      <c r="F9" s="93"/>
      <c r="G9" s="93"/>
    </row>
    <row r="10" spans="1:67" ht="15" customHeight="1" x14ac:dyDescent="0.4">
      <c r="B10" s="28" t="s">
        <v>81</v>
      </c>
      <c r="C10" s="29" t="e">
        <f>SUM(H75:BO75)</f>
        <v>#REF!</v>
      </c>
      <c r="D10" s="91"/>
      <c r="E10" s="91"/>
      <c r="F10" s="91"/>
      <c r="G10" s="91"/>
    </row>
    <row r="11" spans="1:67" ht="15" customHeight="1" x14ac:dyDescent="0.4">
      <c r="B11" s="28" t="s">
        <v>82</v>
      </c>
      <c r="C11" s="29" t="e">
        <f>SUM(H74:BO74)</f>
        <v>#REF!</v>
      </c>
      <c r="D11" s="91"/>
      <c r="E11" s="91"/>
      <c r="F11" s="91"/>
      <c r="G11" s="91"/>
    </row>
    <row r="12" spans="1:67" ht="15" customHeight="1" x14ac:dyDescent="0.4">
      <c r="B12" s="28" t="s">
        <v>19</v>
      </c>
      <c r="C12" s="29">
        <f>SUM(H72:BO72)</f>
        <v>0</v>
      </c>
      <c r="D12" s="91"/>
      <c r="E12" s="91"/>
      <c r="F12" s="91"/>
      <c r="G12" s="91"/>
    </row>
    <row r="14" spans="1:67" x14ac:dyDescent="0.4">
      <c r="B14" s="96" t="s">
        <v>119</v>
      </c>
      <c r="C14" s="96"/>
    </row>
    <row r="15" spans="1:67" x14ac:dyDescent="0.4">
      <c r="B15" s="97" t="s">
        <v>83</v>
      </c>
      <c r="C15" s="97" t="s">
        <v>84</v>
      </c>
      <c r="H15" s="107">
        <f ca="1">H45</f>
        <v>46142</v>
      </c>
      <c r="I15" s="107">
        <f t="shared" ref="I15:BO15" ca="1" si="0">I45</f>
        <v>46173</v>
      </c>
      <c r="J15" s="107">
        <f t="shared" ca="1" si="0"/>
        <v>46203</v>
      </c>
      <c r="K15" s="107">
        <f t="shared" ca="1" si="0"/>
        <v>46234</v>
      </c>
      <c r="L15" s="107">
        <f t="shared" ca="1" si="0"/>
        <v>46265</v>
      </c>
      <c r="M15" s="107">
        <f t="shared" ca="1" si="0"/>
        <v>46295</v>
      </c>
      <c r="N15" s="107">
        <f t="shared" ca="1" si="0"/>
        <v>46326</v>
      </c>
      <c r="O15" s="107">
        <f t="shared" ca="1" si="0"/>
        <v>46356</v>
      </c>
      <c r="P15" s="107">
        <f t="shared" ca="1" si="0"/>
        <v>46387</v>
      </c>
      <c r="Q15" s="107">
        <f t="shared" ca="1" si="0"/>
        <v>46418</v>
      </c>
      <c r="R15" s="107">
        <f t="shared" ca="1" si="0"/>
        <v>46446</v>
      </c>
      <c r="S15" s="107">
        <f t="shared" ca="1" si="0"/>
        <v>46477</v>
      </c>
      <c r="T15" s="107">
        <f t="shared" ca="1" si="0"/>
        <v>46507</v>
      </c>
      <c r="U15" s="107">
        <f t="shared" ca="1" si="0"/>
        <v>46538</v>
      </c>
      <c r="V15" s="107">
        <f t="shared" ca="1" si="0"/>
        <v>46568</v>
      </c>
      <c r="W15" s="107">
        <f t="shared" ca="1" si="0"/>
        <v>46599</v>
      </c>
      <c r="X15" s="107">
        <f t="shared" ca="1" si="0"/>
        <v>46630</v>
      </c>
      <c r="Y15" s="107">
        <f t="shared" ca="1" si="0"/>
        <v>46660</v>
      </c>
      <c r="Z15" s="107">
        <f t="shared" ca="1" si="0"/>
        <v>46691</v>
      </c>
      <c r="AA15" s="107">
        <f t="shared" ca="1" si="0"/>
        <v>46721</v>
      </c>
      <c r="AB15" s="107">
        <f t="shared" ca="1" si="0"/>
        <v>46752</v>
      </c>
      <c r="AC15" s="107">
        <f t="shared" ca="1" si="0"/>
        <v>46783</v>
      </c>
      <c r="AD15" s="107">
        <f t="shared" ca="1" si="0"/>
        <v>46812</v>
      </c>
      <c r="AE15" s="107">
        <f t="shared" ca="1" si="0"/>
        <v>46843</v>
      </c>
      <c r="AF15" s="107">
        <f t="shared" ca="1" si="0"/>
        <v>46873</v>
      </c>
      <c r="AG15" s="107">
        <f t="shared" ca="1" si="0"/>
        <v>46904</v>
      </c>
      <c r="AH15" s="107">
        <f t="shared" ca="1" si="0"/>
        <v>46934</v>
      </c>
      <c r="AI15" s="107">
        <f t="shared" ca="1" si="0"/>
        <v>46965</v>
      </c>
      <c r="AJ15" s="107">
        <f t="shared" ca="1" si="0"/>
        <v>46996</v>
      </c>
      <c r="AK15" s="107">
        <f t="shared" ca="1" si="0"/>
        <v>47026</v>
      </c>
      <c r="AL15" s="107">
        <f t="shared" ca="1" si="0"/>
        <v>47057</v>
      </c>
      <c r="AM15" s="107">
        <f t="shared" ca="1" si="0"/>
        <v>47087</v>
      </c>
      <c r="AN15" s="107">
        <f t="shared" ca="1" si="0"/>
        <v>47118</v>
      </c>
      <c r="AO15" s="107">
        <f t="shared" ca="1" si="0"/>
        <v>47149</v>
      </c>
      <c r="AP15" s="107">
        <f t="shared" ca="1" si="0"/>
        <v>47177</v>
      </c>
      <c r="AQ15" s="107">
        <f t="shared" ca="1" si="0"/>
        <v>47208</v>
      </c>
      <c r="AR15" s="107">
        <f t="shared" ca="1" si="0"/>
        <v>47238</v>
      </c>
      <c r="AS15" s="107">
        <f t="shared" ca="1" si="0"/>
        <v>47269</v>
      </c>
      <c r="AT15" s="107">
        <f t="shared" ca="1" si="0"/>
        <v>47299</v>
      </c>
      <c r="AU15" s="107">
        <f t="shared" ca="1" si="0"/>
        <v>47330</v>
      </c>
      <c r="AV15" s="107">
        <f t="shared" ca="1" si="0"/>
        <v>47361</v>
      </c>
      <c r="AW15" s="107">
        <f t="shared" ca="1" si="0"/>
        <v>47391</v>
      </c>
      <c r="AX15" s="107">
        <f t="shared" ca="1" si="0"/>
        <v>47422</v>
      </c>
      <c r="AY15" s="107">
        <f t="shared" ca="1" si="0"/>
        <v>47452</v>
      </c>
      <c r="AZ15" s="107">
        <f t="shared" ca="1" si="0"/>
        <v>47483</v>
      </c>
      <c r="BA15" s="107">
        <f t="shared" ca="1" si="0"/>
        <v>47514</v>
      </c>
      <c r="BB15" s="107">
        <f t="shared" ca="1" si="0"/>
        <v>47542</v>
      </c>
      <c r="BC15" s="107">
        <f t="shared" ca="1" si="0"/>
        <v>47573</v>
      </c>
      <c r="BD15" s="107">
        <f t="shared" ca="1" si="0"/>
        <v>47603</v>
      </c>
      <c r="BE15" s="107">
        <f t="shared" ca="1" si="0"/>
        <v>47634</v>
      </c>
      <c r="BF15" s="107">
        <f t="shared" ca="1" si="0"/>
        <v>47664</v>
      </c>
      <c r="BG15" s="107">
        <f t="shared" ca="1" si="0"/>
        <v>47695</v>
      </c>
      <c r="BH15" s="107">
        <f t="shared" ca="1" si="0"/>
        <v>47726</v>
      </c>
      <c r="BI15" s="107">
        <f t="shared" ca="1" si="0"/>
        <v>47756</v>
      </c>
      <c r="BJ15" s="107">
        <f t="shared" ca="1" si="0"/>
        <v>47787</v>
      </c>
      <c r="BK15" s="107">
        <f t="shared" ca="1" si="0"/>
        <v>47817</v>
      </c>
      <c r="BL15" s="107">
        <f t="shared" ca="1" si="0"/>
        <v>47848</v>
      </c>
      <c r="BM15" s="107">
        <f t="shared" ca="1" si="0"/>
        <v>47879</v>
      </c>
      <c r="BN15" s="107">
        <f t="shared" ca="1" si="0"/>
        <v>47907</v>
      </c>
      <c r="BO15" s="107">
        <f t="shared" ca="1" si="0"/>
        <v>47938</v>
      </c>
    </row>
    <row r="16" spans="1:67" x14ac:dyDescent="0.4">
      <c r="B16" s="98" t="s">
        <v>120</v>
      </c>
      <c r="C16" s="108">
        <f>SUM(H16:BO16)</f>
        <v>0</v>
      </c>
      <c r="H16" s="108">
        <f>H55</f>
        <v>0</v>
      </c>
      <c r="I16" s="108">
        <f t="shared" ref="I16:BO16" si="1">I55</f>
        <v>0</v>
      </c>
      <c r="J16" s="108">
        <f t="shared" si="1"/>
        <v>0</v>
      </c>
      <c r="K16" s="108">
        <f t="shared" si="1"/>
        <v>0</v>
      </c>
      <c r="L16" s="108">
        <f t="shared" si="1"/>
        <v>0</v>
      </c>
      <c r="M16" s="108">
        <f t="shared" si="1"/>
        <v>0</v>
      </c>
      <c r="N16" s="108">
        <f t="shared" si="1"/>
        <v>0</v>
      </c>
      <c r="O16" s="108">
        <f t="shared" si="1"/>
        <v>0</v>
      </c>
      <c r="P16" s="108">
        <f t="shared" si="1"/>
        <v>0</v>
      </c>
      <c r="Q16" s="108">
        <f t="shared" si="1"/>
        <v>0</v>
      </c>
      <c r="R16" s="108">
        <f t="shared" si="1"/>
        <v>0</v>
      </c>
      <c r="S16" s="108">
        <f t="shared" si="1"/>
        <v>0</v>
      </c>
      <c r="T16" s="108">
        <f t="shared" si="1"/>
        <v>0</v>
      </c>
      <c r="U16" s="108">
        <f t="shared" si="1"/>
        <v>0</v>
      </c>
      <c r="V16" s="108">
        <f t="shared" si="1"/>
        <v>0</v>
      </c>
      <c r="W16" s="108">
        <f t="shared" si="1"/>
        <v>0</v>
      </c>
      <c r="X16" s="108">
        <f t="shared" si="1"/>
        <v>0</v>
      </c>
      <c r="Y16" s="108">
        <f t="shared" si="1"/>
        <v>0</v>
      </c>
      <c r="Z16" s="108">
        <f t="shared" si="1"/>
        <v>0</v>
      </c>
      <c r="AA16" s="108">
        <f t="shared" si="1"/>
        <v>0</v>
      </c>
      <c r="AB16" s="108">
        <f t="shared" si="1"/>
        <v>0</v>
      </c>
      <c r="AC16" s="108">
        <f t="shared" si="1"/>
        <v>0</v>
      </c>
      <c r="AD16" s="108">
        <f t="shared" si="1"/>
        <v>0</v>
      </c>
      <c r="AE16" s="108">
        <f t="shared" si="1"/>
        <v>0</v>
      </c>
      <c r="AF16" s="108">
        <f t="shared" si="1"/>
        <v>0</v>
      </c>
      <c r="AG16" s="108">
        <f t="shared" si="1"/>
        <v>0</v>
      </c>
      <c r="AH16" s="108">
        <f t="shared" si="1"/>
        <v>0</v>
      </c>
      <c r="AI16" s="108">
        <f t="shared" si="1"/>
        <v>0</v>
      </c>
      <c r="AJ16" s="108">
        <f t="shared" si="1"/>
        <v>0</v>
      </c>
      <c r="AK16" s="108">
        <f t="shared" si="1"/>
        <v>0</v>
      </c>
      <c r="AL16" s="108">
        <f t="shared" si="1"/>
        <v>0</v>
      </c>
      <c r="AM16" s="108">
        <f t="shared" si="1"/>
        <v>0</v>
      </c>
      <c r="AN16" s="108">
        <f t="shared" si="1"/>
        <v>0</v>
      </c>
      <c r="AO16" s="108">
        <f t="shared" si="1"/>
        <v>0</v>
      </c>
      <c r="AP16" s="108">
        <f t="shared" si="1"/>
        <v>0</v>
      </c>
      <c r="AQ16" s="108">
        <f t="shared" si="1"/>
        <v>0</v>
      </c>
      <c r="AR16" s="108">
        <f t="shared" si="1"/>
        <v>0</v>
      </c>
      <c r="AS16" s="108">
        <f t="shared" si="1"/>
        <v>0</v>
      </c>
      <c r="AT16" s="108">
        <f t="shared" si="1"/>
        <v>0</v>
      </c>
      <c r="AU16" s="108">
        <f t="shared" si="1"/>
        <v>0</v>
      </c>
      <c r="AV16" s="108">
        <f t="shared" si="1"/>
        <v>0</v>
      </c>
      <c r="AW16" s="108">
        <f t="shared" si="1"/>
        <v>0</v>
      </c>
      <c r="AX16" s="108">
        <f t="shared" si="1"/>
        <v>0</v>
      </c>
      <c r="AY16" s="108">
        <f t="shared" si="1"/>
        <v>0</v>
      </c>
      <c r="AZ16" s="108">
        <f t="shared" si="1"/>
        <v>0</v>
      </c>
      <c r="BA16" s="108">
        <f t="shared" si="1"/>
        <v>0</v>
      </c>
      <c r="BB16" s="108">
        <f t="shared" si="1"/>
        <v>0</v>
      </c>
      <c r="BC16" s="108">
        <f t="shared" si="1"/>
        <v>0</v>
      </c>
      <c r="BD16" s="108">
        <f t="shared" si="1"/>
        <v>0</v>
      </c>
      <c r="BE16" s="108">
        <f t="shared" si="1"/>
        <v>0</v>
      </c>
      <c r="BF16" s="108">
        <f t="shared" si="1"/>
        <v>0</v>
      </c>
      <c r="BG16" s="108">
        <f t="shared" si="1"/>
        <v>0</v>
      </c>
      <c r="BH16" s="108">
        <f t="shared" si="1"/>
        <v>0</v>
      </c>
      <c r="BI16" s="108">
        <f t="shared" si="1"/>
        <v>0</v>
      </c>
      <c r="BJ16" s="108">
        <f t="shared" si="1"/>
        <v>0</v>
      </c>
      <c r="BK16" s="108">
        <f t="shared" si="1"/>
        <v>0</v>
      </c>
      <c r="BL16" s="108">
        <f t="shared" si="1"/>
        <v>0</v>
      </c>
      <c r="BM16" s="108">
        <f t="shared" si="1"/>
        <v>0</v>
      </c>
      <c r="BN16" s="108">
        <f t="shared" si="1"/>
        <v>0</v>
      </c>
      <c r="BO16" s="108">
        <f t="shared" si="1"/>
        <v>0</v>
      </c>
    </row>
    <row r="18" spans="2:67" x14ac:dyDescent="0.4">
      <c r="B18" s="99" t="s">
        <v>121</v>
      </c>
      <c r="C18" s="109">
        <f>SUM(H18:BO18)</f>
        <v>0</v>
      </c>
      <c r="H18" s="109">
        <f>-H48</f>
        <v>0</v>
      </c>
      <c r="I18" s="109">
        <f t="shared" ref="I18:BO18" si="2">-I48</f>
        <v>0</v>
      </c>
      <c r="J18" s="109">
        <f t="shared" si="2"/>
        <v>0</v>
      </c>
      <c r="K18" s="109">
        <f t="shared" si="2"/>
        <v>0</v>
      </c>
      <c r="L18" s="109">
        <f t="shared" si="2"/>
        <v>0</v>
      </c>
      <c r="M18" s="109">
        <f t="shared" si="2"/>
        <v>0</v>
      </c>
      <c r="N18" s="109">
        <f t="shared" si="2"/>
        <v>0</v>
      </c>
      <c r="O18" s="109">
        <f t="shared" si="2"/>
        <v>0</v>
      </c>
      <c r="P18" s="109">
        <f t="shared" si="2"/>
        <v>0</v>
      </c>
      <c r="Q18" s="109">
        <f t="shared" si="2"/>
        <v>0</v>
      </c>
      <c r="R18" s="109">
        <f t="shared" si="2"/>
        <v>0</v>
      </c>
      <c r="S18" s="109">
        <f t="shared" si="2"/>
        <v>0</v>
      </c>
      <c r="T18" s="109">
        <f t="shared" si="2"/>
        <v>0</v>
      </c>
      <c r="U18" s="109">
        <f t="shared" si="2"/>
        <v>0</v>
      </c>
      <c r="V18" s="109">
        <f t="shared" si="2"/>
        <v>0</v>
      </c>
      <c r="W18" s="109">
        <f t="shared" si="2"/>
        <v>0</v>
      </c>
      <c r="X18" s="109">
        <f t="shared" si="2"/>
        <v>0</v>
      </c>
      <c r="Y18" s="109">
        <f t="shared" si="2"/>
        <v>0</v>
      </c>
      <c r="Z18" s="109">
        <f t="shared" si="2"/>
        <v>0</v>
      </c>
      <c r="AA18" s="109">
        <f t="shared" si="2"/>
        <v>0</v>
      </c>
      <c r="AB18" s="109">
        <f t="shared" si="2"/>
        <v>0</v>
      </c>
      <c r="AC18" s="109">
        <f t="shared" si="2"/>
        <v>0</v>
      </c>
      <c r="AD18" s="109">
        <f t="shared" si="2"/>
        <v>0</v>
      </c>
      <c r="AE18" s="109">
        <f t="shared" si="2"/>
        <v>0</v>
      </c>
      <c r="AF18" s="109">
        <f t="shared" si="2"/>
        <v>0</v>
      </c>
      <c r="AG18" s="109">
        <f t="shared" si="2"/>
        <v>0</v>
      </c>
      <c r="AH18" s="109">
        <f t="shared" si="2"/>
        <v>0</v>
      </c>
      <c r="AI18" s="109">
        <f t="shared" si="2"/>
        <v>0</v>
      </c>
      <c r="AJ18" s="109">
        <f t="shared" si="2"/>
        <v>0</v>
      </c>
      <c r="AK18" s="109">
        <f t="shared" si="2"/>
        <v>0</v>
      </c>
      <c r="AL18" s="109">
        <f t="shared" si="2"/>
        <v>0</v>
      </c>
      <c r="AM18" s="109">
        <f t="shared" si="2"/>
        <v>0</v>
      </c>
      <c r="AN18" s="109">
        <f t="shared" si="2"/>
        <v>0</v>
      </c>
      <c r="AO18" s="109">
        <f t="shared" si="2"/>
        <v>0</v>
      </c>
      <c r="AP18" s="109">
        <f t="shared" si="2"/>
        <v>0</v>
      </c>
      <c r="AQ18" s="109">
        <f t="shared" si="2"/>
        <v>0</v>
      </c>
      <c r="AR18" s="109">
        <f t="shared" si="2"/>
        <v>0</v>
      </c>
      <c r="AS18" s="109">
        <f t="shared" si="2"/>
        <v>0</v>
      </c>
      <c r="AT18" s="109">
        <f t="shared" si="2"/>
        <v>0</v>
      </c>
      <c r="AU18" s="109">
        <f t="shared" si="2"/>
        <v>0</v>
      </c>
      <c r="AV18" s="109">
        <f t="shared" si="2"/>
        <v>0</v>
      </c>
      <c r="AW18" s="109">
        <f t="shared" si="2"/>
        <v>0</v>
      </c>
      <c r="AX18" s="109">
        <f t="shared" si="2"/>
        <v>0</v>
      </c>
      <c r="AY18" s="109">
        <f t="shared" si="2"/>
        <v>0</v>
      </c>
      <c r="AZ18" s="109">
        <f t="shared" si="2"/>
        <v>0</v>
      </c>
      <c r="BA18" s="109">
        <f t="shared" si="2"/>
        <v>0</v>
      </c>
      <c r="BB18" s="109">
        <f t="shared" si="2"/>
        <v>0</v>
      </c>
      <c r="BC18" s="109">
        <f t="shared" si="2"/>
        <v>0</v>
      </c>
      <c r="BD18" s="109">
        <f t="shared" si="2"/>
        <v>0</v>
      </c>
      <c r="BE18" s="109">
        <f t="shared" si="2"/>
        <v>0</v>
      </c>
      <c r="BF18" s="109">
        <f t="shared" si="2"/>
        <v>0</v>
      </c>
      <c r="BG18" s="109">
        <f t="shared" si="2"/>
        <v>0</v>
      </c>
      <c r="BH18" s="109">
        <f t="shared" si="2"/>
        <v>0</v>
      </c>
      <c r="BI18" s="109">
        <f t="shared" si="2"/>
        <v>0</v>
      </c>
      <c r="BJ18" s="109">
        <f t="shared" si="2"/>
        <v>0</v>
      </c>
      <c r="BK18" s="109">
        <f t="shared" si="2"/>
        <v>0</v>
      </c>
      <c r="BL18" s="109">
        <f t="shared" si="2"/>
        <v>0</v>
      </c>
      <c r="BM18" s="109">
        <f t="shared" si="2"/>
        <v>0</v>
      </c>
      <c r="BN18" s="109">
        <f t="shared" si="2"/>
        <v>0</v>
      </c>
      <c r="BO18" s="109">
        <f t="shared" si="2"/>
        <v>0</v>
      </c>
    </row>
    <row r="19" spans="2:67" x14ac:dyDescent="0.4">
      <c r="B19" s="99" t="s">
        <v>122</v>
      </c>
      <c r="C19" s="109">
        <f>SUM(H19:BO19)</f>
        <v>0</v>
      </c>
      <c r="H19" s="109">
        <f>-IF(AND(H$44&gt;Inputs!$D$65,H$44&lt;=Inputs!$D$65+Inputs!$D$66,Inputs!$D$66&gt;0),Inputs!$D$28*Inputs!$C$15/Inputs!$D$66,0)</f>
        <v>0</v>
      </c>
      <c r="I19" s="109">
        <f>-IF(AND(I$44&gt;Inputs!$D$65,I$44&lt;=Inputs!$D$65+Inputs!$D$66,Inputs!$D$66&gt;0),Inputs!$D$28*Inputs!$C$15/Inputs!$D$66,0)</f>
        <v>0</v>
      </c>
      <c r="J19" s="109">
        <f>-IF(AND(J$44&gt;Inputs!$D$65,J$44&lt;=Inputs!$D$65+Inputs!$D$66,Inputs!$D$66&gt;0),Inputs!$D$28*Inputs!$C$15/Inputs!$D$66,0)</f>
        <v>0</v>
      </c>
      <c r="K19" s="109">
        <f>-IF(AND(K$44&gt;Inputs!$D$65,K$44&lt;=Inputs!$D$65+Inputs!$D$66,Inputs!$D$66&gt;0),Inputs!$D$28*Inputs!$C$15/Inputs!$D$66,0)</f>
        <v>0</v>
      </c>
      <c r="L19" s="109">
        <f>-IF(AND(L$44&gt;Inputs!$D$65,L$44&lt;=Inputs!$D$65+Inputs!$D$66,Inputs!$D$66&gt;0),Inputs!$D$28*Inputs!$C$15/Inputs!$D$66,0)</f>
        <v>0</v>
      </c>
      <c r="M19" s="109">
        <f>-IF(AND(M$44&gt;Inputs!$D$65,M$44&lt;=Inputs!$D$65+Inputs!$D$66,Inputs!$D$66&gt;0),Inputs!$D$28*Inputs!$C$15/Inputs!$D$66,0)</f>
        <v>0</v>
      </c>
      <c r="N19" s="109">
        <f>-IF(AND(N$44&gt;Inputs!$D$65,N$44&lt;=Inputs!$D$65+Inputs!$D$66,Inputs!$D$66&gt;0),Inputs!$D$28*Inputs!$C$15/Inputs!$D$66,0)</f>
        <v>0</v>
      </c>
      <c r="O19" s="109">
        <f>-IF(AND(O$44&gt;Inputs!$D$65,O$44&lt;=Inputs!$D$65+Inputs!$D$66,Inputs!$D$66&gt;0),Inputs!$D$28*Inputs!$C$15/Inputs!$D$66,0)</f>
        <v>0</v>
      </c>
      <c r="P19" s="109">
        <f>-IF(AND(P$44&gt;Inputs!$D$65,P$44&lt;=Inputs!$D$65+Inputs!$D$66,Inputs!$D$66&gt;0),Inputs!$D$28*Inputs!$C$15/Inputs!$D$66,0)</f>
        <v>0</v>
      </c>
      <c r="Q19" s="109">
        <f>-IF(AND(Q$44&gt;Inputs!$D$65,Q$44&lt;=Inputs!$D$65+Inputs!$D$66,Inputs!$D$66&gt;0),Inputs!$D$28*Inputs!$C$15/Inputs!$D$66,0)</f>
        <v>0</v>
      </c>
      <c r="R19" s="109">
        <f>-IF(AND(R$44&gt;Inputs!$D$65,R$44&lt;=Inputs!$D$65+Inputs!$D$66,Inputs!$D$66&gt;0),Inputs!$D$28*Inputs!$C$15/Inputs!$D$66,0)</f>
        <v>0</v>
      </c>
      <c r="S19" s="109">
        <f>-IF(AND(S$44&gt;Inputs!$D$65,S$44&lt;=Inputs!$D$65+Inputs!$D$66,Inputs!$D$66&gt;0),Inputs!$D$28*Inputs!$C$15/Inputs!$D$66,0)</f>
        <v>0</v>
      </c>
      <c r="T19" s="109">
        <f>-IF(AND(T$44&gt;Inputs!$D$65,T$44&lt;=Inputs!$D$65+Inputs!$D$66,Inputs!$D$66&gt;0),Inputs!$D$28*Inputs!$C$15/Inputs!$D$66,0)</f>
        <v>0</v>
      </c>
      <c r="U19" s="109">
        <f>-IF(AND(U$44&gt;Inputs!$D$65,U$44&lt;=Inputs!$D$65+Inputs!$D$66,Inputs!$D$66&gt;0),Inputs!$D$28*Inputs!$C$15/Inputs!$D$66,0)</f>
        <v>0</v>
      </c>
      <c r="V19" s="109">
        <f>-IF(AND(V$44&gt;Inputs!$D$65,V$44&lt;=Inputs!$D$65+Inputs!$D$66,Inputs!$D$66&gt;0),Inputs!$D$28*Inputs!$C$15/Inputs!$D$66,0)</f>
        <v>0</v>
      </c>
      <c r="W19" s="109">
        <f>-IF(AND(W$44&gt;Inputs!$D$65,W$44&lt;=Inputs!$D$65+Inputs!$D$66,Inputs!$D$66&gt;0),Inputs!$D$28*Inputs!$C$15/Inputs!$D$66,0)</f>
        <v>0</v>
      </c>
      <c r="X19" s="109">
        <f>-IF(AND(X$44&gt;Inputs!$D$65,X$44&lt;=Inputs!$D$65+Inputs!$D$66,Inputs!$D$66&gt;0),Inputs!$D$28*Inputs!$C$15/Inputs!$D$66,0)</f>
        <v>0</v>
      </c>
      <c r="Y19" s="109">
        <f>-IF(AND(Y$44&gt;Inputs!$D$65,Y$44&lt;=Inputs!$D$65+Inputs!$D$66,Inputs!$D$66&gt;0),Inputs!$D$28*Inputs!$C$15/Inputs!$D$66,0)</f>
        <v>0</v>
      </c>
      <c r="Z19" s="109">
        <f>-IF(AND(Z$44&gt;Inputs!$D$65,Z$44&lt;=Inputs!$D$65+Inputs!$D$66,Inputs!$D$66&gt;0),Inputs!$D$28*Inputs!$C$15/Inputs!$D$66,0)</f>
        <v>0</v>
      </c>
      <c r="AA19" s="109">
        <f>-IF(AND(AA$44&gt;Inputs!$D$65,AA$44&lt;=Inputs!$D$65+Inputs!$D$66,Inputs!$D$66&gt;0),Inputs!$D$28*Inputs!$C$15/Inputs!$D$66,0)</f>
        <v>0</v>
      </c>
      <c r="AB19" s="109">
        <f>-IF(AND(AB$44&gt;Inputs!$D$65,AB$44&lt;=Inputs!$D$65+Inputs!$D$66,Inputs!$D$66&gt;0),Inputs!$D$28*Inputs!$C$15/Inputs!$D$66,0)</f>
        <v>0</v>
      </c>
      <c r="AC19" s="109">
        <f>-IF(AND(AC$44&gt;Inputs!$D$65,AC$44&lt;=Inputs!$D$65+Inputs!$D$66,Inputs!$D$66&gt;0),Inputs!$D$28*Inputs!$C$15/Inputs!$D$66,0)</f>
        <v>0</v>
      </c>
      <c r="AD19" s="109">
        <f>-IF(AND(AD$44&gt;Inputs!$D$65,AD$44&lt;=Inputs!$D$65+Inputs!$D$66,Inputs!$D$66&gt;0),Inputs!$D$28*Inputs!$C$15/Inputs!$D$66,0)</f>
        <v>0</v>
      </c>
      <c r="AE19" s="109">
        <f>-IF(AND(AE$44&gt;Inputs!$D$65,AE$44&lt;=Inputs!$D$65+Inputs!$D$66,Inputs!$D$66&gt;0),Inputs!$D$28*Inputs!$C$15/Inputs!$D$66,0)</f>
        <v>0</v>
      </c>
      <c r="AF19" s="109">
        <f>-IF(AND(AF$44&gt;Inputs!$D$65,AF$44&lt;=Inputs!$D$65+Inputs!$D$66,Inputs!$D$66&gt;0),Inputs!$D$28*Inputs!$C$15/Inputs!$D$66,0)</f>
        <v>0</v>
      </c>
      <c r="AG19" s="109">
        <f>-IF(AND(AG$44&gt;Inputs!$D$65,AG$44&lt;=Inputs!$D$65+Inputs!$D$66,Inputs!$D$66&gt;0),Inputs!$D$28*Inputs!$C$15/Inputs!$D$66,0)</f>
        <v>0</v>
      </c>
      <c r="AH19" s="109">
        <f>-IF(AND(AH$44&gt;Inputs!$D$65,AH$44&lt;=Inputs!$D$65+Inputs!$D$66,Inputs!$D$66&gt;0),Inputs!$D$28*Inputs!$C$15/Inputs!$D$66,0)</f>
        <v>0</v>
      </c>
      <c r="AI19" s="109">
        <f>-IF(AND(AI$44&gt;Inputs!$D$65,AI$44&lt;=Inputs!$D$65+Inputs!$D$66,Inputs!$D$66&gt;0),Inputs!$D$28*Inputs!$C$15/Inputs!$D$66,0)</f>
        <v>0</v>
      </c>
      <c r="AJ19" s="109">
        <f>-IF(AND(AJ$44&gt;Inputs!$D$65,AJ$44&lt;=Inputs!$D$65+Inputs!$D$66,Inputs!$D$66&gt;0),Inputs!$D$28*Inputs!$C$15/Inputs!$D$66,0)</f>
        <v>0</v>
      </c>
      <c r="AK19" s="109">
        <f>-IF(AND(AK$44&gt;Inputs!$D$65,AK$44&lt;=Inputs!$D$65+Inputs!$D$66,Inputs!$D$66&gt;0),Inputs!$D$28*Inputs!$C$15/Inputs!$D$66,0)</f>
        <v>0</v>
      </c>
      <c r="AL19" s="109">
        <f>-IF(AND(AL$44&gt;Inputs!$D$65,AL$44&lt;=Inputs!$D$65+Inputs!$D$66,Inputs!$D$66&gt;0),Inputs!$D$28*Inputs!$C$15/Inputs!$D$66,0)</f>
        <v>0</v>
      </c>
      <c r="AM19" s="109">
        <f>-IF(AND(AM$44&gt;Inputs!$D$65,AM$44&lt;=Inputs!$D$65+Inputs!$D$66,Inputs!$D$66&gt;0),Inputs!$D$28*Inputs!$C$15/Inputs!$D$66,0)</f>
        <v>0</v>
      </c>
      <c r="AN19" s="109">
        <f>-IF(AND(AN$44&gt;Inputs!$D$65,AN$44&lt;=Inputs!$D$65+Inputs!$D$66,Inputs!$D$66&gt;0),Inputs!$D$28*Inputs!$C$15/Inputs!$D$66,0)</f>
        <v>0</v>
      </c>
      <c r="AO19" s="109">
        <f>-IF(AND(AO$44&gt;Inputs!$D$65,AO$44&lt;=Inputs!$D$65+Inputs!$D$66,Inputs!$D$66&gt;0),Inputs!$D$28*Inputs!$C$15/Inputs!$D$66,0)</f>
        <v>0</v>
      </c>
      <c r="AP19" s="109">
        <f>-IF(AND(AP$44&gt;Inputs!$D$65,AP$44&lt;=Inputs!$D$65+Inputs!$D$66,Inputs!$D$66&gt;0),Inputs!$D$28*Inputs!$C$15/Inputs!$D$66,0)</f>
        <v>0</v>
      </c>
      <c r="AQ19" s="109">
        <f>-IF(AND(AQ$44&gt;Inputs!$D$65,AQ$44&lt;=Inputs!$D$65+Inputs!$D$66,Inputs!$D$66&gt;0),Inputs!$D$28*Inputs!$C$15/Inputs!$D$66,0)</f>
        <v>0</v>
      </c>
      <c r="AR19" s="109">
        <f>-IF(AND(AR$44&gt;Inputs!$D$65,AR$44&lt;=Inputs!$D$65+Inputs!$D$66,Inputs!$D$66&gt;0),Inputs!$D$28*Inputs!$C$15/Inputs!$D$66,0)</f>
        <v>0</v>
      </c>
      <c r="AS19" s="109">
        <f>-IF(AND(AS$44&gt;Inputs!$D$65,AS$44&lt;=Inputs!$D$65+Inputs!$D$66,Inputs!$D$66&gt;0),Inputs!$D$28*Inputs!$C$15/Inputs!$D$66,0)</f>
        <v>0</v>
      </c>
      <c r="AT19" s="109">
        <f>-IF(AND(AT$44&gt;Inputs!$D$65,AT$44&lt;=Inputs!$D$65+Inputs!$D$66,Inputs!$D$66&gt;0),Inputs!$D$28*Inputs!$C$15/Inputs!$D$66,0)</f>
        <v>0</v>
      </c>
      <c r="AU19" s="109">
        <f>-IF(AND(AU$44&gt;Inputs!$D$65,AU$44&lt;=Inputs!$D$65+Inputs!$D$66,Inputs!$D$66&gt;0),Inputs!$D$28*Inputs!$C$15/Inputs!$D$66,0)</f>
        <v>0</v>
      </c>
      <c r="AV19" s="109">
        <f>-IF(AND(AV$44&gt;Inputs!$D$65,AV$44&lt;=Inputs!$D$65+Inputs!$D$66,Inputs!$D$66&gt;0),Inputs!$D$28*Inputs!$C$15/Inputs!$D$66,0)</f>
        <v>0</v>
      </c>
      <c r="AW19" s="109">
        <f>-IF(AND(AW$44&gt;Inputs!$D$65,AW$44&lt;=Inputs!$D$65+Inputs!$D$66,Inputs!$D$66&gt;0),Inputs!$D$28*Inputs!$C$15/Inputs!$D$66,0)</f>
        <v>0</v>
      </c>
      <c r="AX19" s="109">
        <f>-IF(AND(AX$44&gt;Inputs!$D$65,AX$44&lt;=Inputs!$D$65+Inputs!$D$66,Inputs!$D$66&gt;0),Inputs!$D$28*Inputs!$C$15/Inputs!$D$66,0)</f>
        <v>0</v>
      </c>
      <c r="AY19" s="109">
        <f>-IF(AND(AY$44&gt;Inputs!$D$65,AY$44&lt;=Inputs!$D$65+Inputs!$D$66,Inputs!$D$66&gt;0),Inputs!$D$28*Inputs!$C$15/Inputs!$D$66,0)</f>
        <v>0</v>
      </c>
      <c r="AZ19" s="109">
        <f>-IF(AND(AZ$44&gt;Inputs!$D$65,AZ$44&lt;=Inputs!$D$65+Inputs!$D$66,Inputs!$D$66&gt;0),Inputs!$D$28*Inputs!$C$15/Inputs!$D$66,0)</f>
        <v>0</v>
      </c>
      <c r="BA19" s="109">
        <f>-IF(AND(BA$44&gt;Inputs!$D$65,BA$44&lt;=Inputs!$D$65+Inputs!$D$66,Inputs!$D$66&gt;0),Inputs!$D$28*Inputs!$C$15/Inputs!$D$66,0)</f>
        <v>0</v>
      </c>
      <c r="BB19" s="109">
        <f>-IF(AND(BB$44&gt;Inputs!$D$65,BB$44&lt;=Inputs!$D$65+Inputs!$D$66,Inputs!$D$66&gt;0),Inputs!$D$28*Inputs!$C$15/Inputs!$D$66,0)</f>
        <v>0</v>
      </c>
      <c r="BC19" s="109">
        <f>-IF(AND(BC$44&gt;Inputs!$D$65,BC$44&lt;=Inputs!$D$65+Inputs!$D$66,Inputs!$D$66&gt;0),Inputs!$D$28*Inputs!$C$15/Inputs!$D$66,0)</f>
        <v>0</v>
      </c>
      <c r="BD19" s="109">
        <f>-IF(AND(BD$44&gt;Inputs!$D$65,BD$44&lt;=Inputs!$D$65+Inputs!$D$66,Inputs!$D$66&gt;0),Inputs!$D$28*Inputs!$C$15/Inputs!$D$66,0)</f>
        <v>0</v>
      </c>
      <c r="BE19" s="109">
        <f>-IF(AND(BE$44&gt;Inputs!$D$65,BE$44&lt;=Inputs!$D$65+Inputs!$D$66,Inputs!$D$66&gt;0),Inputs!$D$28*Inputs!$C$15/Inputs!$D$66,0)</f>
        <v>0</v>
      </c>
      <c r="BF19" s="109">
        <f>-IF(AND(BF$44&gt;Inputs!$D$65,BF$44&lt;=Inputs!$D$65+Inputs!$D$66,Inputs!$D$66&gt;0),Inputs!$D$28*Inputs!$C$15/Inputs!$D$66,0)</f>
        <v>0</v>
      </c>
      <c r="BG19" s="109">
        <f>-IF(AND(BG$44&gt;Inputs!$D$65,BG$44&lt;=Inputs!$D$65+Inputs!$D$66,Inputs!$D$66&gt;0),Inputs!$D$28*Inputs!$C$15/Inputs!$D$66,0)</f>
        <v>0</v>
      </c>
      <c r="BH19" s="109">
        <f>-IF(AND(BH$44&gt;Inputs!$D$65,BH$44&lt;=Inputs!$D$65+Inputs!$D$66,Inputs!$D$66&gt;0),Inputs!$D$28*Inputs!$C$15/Inputs!$D$66,0)</f>
        <v>0</v>
      </c>
      <c r="BI19" s="109">
        <f>-IF(AND(BI$44&gt;Inputs!$D$65,BI$44&lt;=Inputs!$D$65+Inputs!$D$66,Inputs!$D$66&gt;0),Inputs!$D$28*Inputs!$C$15/Inputs!$D$66,0)</f>
        <v>0</v>
      </c>
      <c r="BJ19" s="109">
        <f>-IF(AND(BJ$44&gt;Inputs!$D$65,BJ$44&lt;=Inputs!$D$65+Inputs!$D$66,Inputs!$D$66&gt;0),Inputs!$D$28*Inputs!$C$15/Inputs!$D$66,0)</f>
        <v>0</v>
      </c>
      <c r="BK19" s="109">
        <f>-IF(AND(BK$44&gt;Inputs!$D$65,BK$44&lt;=Inputs!$D$65+Inputs!$D$66,Inputs!$D$66&gt;0),Inputs!$D$28*Inputs!$C$15/Inputs!$D$66,0)</f>
        <v>0</v>
      </c>
      <c r="BL19" s="109">
        <f>-IF(AND(BL$44&gt;Inputs!$D$65,BL$44&lt;=Inputs!$D$65+Inputs!$D$66,Inputs!$D$66&gt;0),Inputs!$D$28*Inputs!$C$15/Inputs!$D$66,0)</f>
        <v>0</v>
      </c>
      <c r="BM19" s="109">
        <f>-IF(AND(BM$44&gt;Inputs!$D$65,BM$44&lt;=Inputs!$D$65+Inputs!$D$66,Inputs!$D$66&gt;0),Inputs!$D$28*Inputs!$C$15/Inputs!$D$66,0)</f>
        <v>0</v>
      </c>
      <c r="BN19" s="109">
        <f>-IF(AND(BN$44&gt;Inputs!$D$65,BN$44&lt;=Inputs!$D$65+Inputs!$D$66,Inputs!$D$66&gt;0),Inputs!$D$28*Inputs!$C$15/Inputs!$D$66,0)</f>
        <v>0</v>
      </c>
      <c r="BO19" s="109">
        <f>-IF(AND(BO$44&gt;Inputs!$D$65,BO$44&lt;=Inputs!$D$65+Inputs!$D$66,Inputs!$D$66&gt;0),Inputs!$D$28*Inputs!$C$15/Inputs!$D$66,0)</f>
        <v>0</v>
      </c>
    </row>
    <row r="20" spans="2:67" x14ac:dyDescent="0.4">
      <c r="B20" s="99" t="s">
        <v>123</v>
      </c>
      <c r="C20" s="109">
        <f>SUM(H20:BO20)</f>
        <v>0</v>
      </c>
      <c r="H20" s="109">
        <f>-IF(AND(H$44&gt;Inputs!$D$65,H$44&lt;=Inputs!$D$65+Inputs!$D$66,Inputs!$D$66&gt;0),Inputs!$D$29*Inputs!$C$15/Inputs!$D$66,0)</f>
        <v>0</v>
      </c>
      <c r="I20" s="109">
        <f>-IF(AND(I$44&gt;Inputs!$D$65,I$44&lt;=Inputs!$D$65+Inputs!$D$66,Inputs!$D$66&gt;0),Inputs!$D$29*Inputs!$C$15/Inputs!$D$66,0)</f>
        <v>0</v>
      </c>
      <c r="J20" s="109">
        <f>-IF(AND(J$44&gt;Inputs!$D$65,J$44&lt;=Inputs!$D$65+Inputs!$D$66,Inputs!$D$66&gt;0),Inputs!$D$29*Inputs!$C$15/Inputs!$D$66,0)</f>
        <v>0</v>
      </c>
      <c r="K20" s="109">
        <f>-IF(AND(K$44&gt;Inputs!$D$65,K$44&lt;=Inputs!$D$65+Inputs!$D$66,Inputs!$D$66&gt;0),Inputs!$D$29*Inputs!$C$15/Inputs!$D$66,0)</f>
        <v>0</v>
      </c>
      <c r="L20" s="109">
        <f>-IF(AND(L$44&gt;Inputs!$D$65,L$44&lt;=Inputs!$D$65+Inputs!$D$66,Inputs!$D$66&gt;0),Inputs!$D$29*Inputs!$C$15/Inputs!$D$66,0)</f>
        <v>0</v>
      </c>
      <c r="M20" s="109">
        <f>-IF(AND(M$44&gt;Inputs!$D$65,M$44&lt;=Inputs!$D$65+Inputs!$D$66,Inputs!$D$66&gt;0),Inputs!$D$29*Inputs!$C$15/Inputs!$D$66,0)</f>
        <v>0</v>
      </c>
      <c r="N20" s="109">
        <f>-IF(AND(N$44&gt;Inputs!$D$65,N$44&lt;=Inputs!$D$65+Inputs!$D$66,Inputs!$D$66&gt;0),Inputs!$D$29*Inputs!$C$15/Inputs!$D$66,0)</f>
        <v>0</v>
      </c>
      <c r="O20" s="109">
        <f>-IF(AND(O$44&gt;Inputs!$D$65,O$44&lt;=Inputs!$D$65+Inputs!$D$66,Inputs!$D$66&gt;0),Inputs!$D$29*Inputs!$C$15/Inputs!$D$66,0)</f>
        <v>0</v>
      </c>
      <c r="P20" s="109">
        <f>-IF(AND(P$44&gt;Inputs!$D$65,P$44&lt;=Inputs!$D$65+Inputs!$D$66,Inputs!$D$66&gt;0),Inputs!$D$29*Inputs!$C$15/Inputs!$D$66,0)</f>
        <v>0</v>
      </c>
      <c r="Q20" s="109">
        <f>-IF(AND(Q$44&gt;Inputs!$D$65,Q$44&lt;=Inputs!$D$65+Inputs!$D$66,Inputs!$D$66&gt;0),Inputs!$D$29*Inputs!$C$15/Inputs!$D$66,0)</f>
        <v>0</v>
      </c>
      <c r="R20" s="109">
        <f>-IF(AND(R$44&gt;Inputs!$D$65,R$44&lt;=Inputs!$D$65+Inputs!$D$66,Inputs!$D$66&gt;0),Inputs!$D$29*Inputs!$C$15/Inputs!$D$66,0)</f>
        <v>0</v>
      </c>
      <c r="S20" s="109">
        <f>-IF(AND(S$44&gt;Inputs!$D$65,S$44&lt;=Inputs!$D$65+Inputs!$D$66,Inputs!$D$66&gt;0),Inputs!$D$29*Inputs!$C$15/Inputs!$D$66,0)</f>
        <v>0</v>
      </c>
      <c r="T20" s="109">
        <f>-IF(AND(T$44&gt;Inputs!$D$65,T$44&lt;=Inputs!$D$65+Inputs!$D$66,Inputs!$D$66&gt;0),Inputs!$D$29*Inputs!$C$15/Inputs!$D$66,0)</f>
        <v>0</v>
      </c>
      <c r="U20" s="109">
        <f>-IF(AND(U$44&gt;Inputs!$D$65,U$44&lt;=Inputs!$D$65+Inputs!$D$66,Inputs!$D$66&gt;0),Inputs!$D$29*Inputs!$C$15/Inputs!$D$66,0)</f>
        <v>0</v>
      </c>
      <c r="V20" s="109">
        <f>-IF(AND(V$44&gt;Inputs!$D$65,V$44&lt;=Inputs!$D$65+Inputs!$D$66,Inputs!$D$66&gt;0),Inputs!$D$29*Inputs!$C$15/Inputs!$D$66,0)</f>
        <v>0</v>
      </c>
      <c r="W20" s="109">
        <f>-IF(AND(W$44&gt;Inputs!$D$65,W$44&lt;=Inputs!$D$65+Inputs!$D$66,Inputs!$D$66&gt;0),Inputs!$D$29*Inputs!$C$15/Inputs!$D$66,0)</f>
        <v>0</v>
      </c>
      <c r="X20" s="109">
        <f>-IF(AND(X$44&gt;Inputs!$D$65,X$44&lt;=Inputs!$D$65+Inputs!$D$66,Inputs!$D$66&gt;0),Inputs!$D$29*Inputs!$C$15/Inputs!$D$66,0)</f>
        <v>0</v>
      </c>
      <c r="Y20" s="109">
        <f>-IF(AND(Y$44&gt;Inputs!$D$65,Y$44&lt;=Inputs!$D$65+Inputs!$D$66,Inputs!$D$66&gt;0),Inputs!$D$29*Inputs!$C$15/Inputs!$D$66,0)</f>
        <v>0</v>
      </c>
      <c r="Z20" s="109">
        <f>-IF(AND(Z$44&gt;Inputs!$D$65,Z$44&lt;=Inputs!$D$65+Inputs!$D$66,Inputs!$D$66&gt;0),Inputs!$D$29*Inputs!$C$15/Inputs!$D$66,0)</f>
        <v>0</v>
      </c>
      <c r="AA20" s="109">
        <f>-IF(AND(AA$44&gt;Inputs!$D$65,AA$44&lt;=Inputs!$D$65+Inputs!$D$66,Inputs!$D$66&gt;0),Inputs!$D$29*Inputs!$C$15/Inputs!$D$66,0)</f>
        <v>0</v>
      </c>
      <c r="AB20" s="109">
        <f>-IF(AND(AB$44&gt;Inputs!$D$65,AB$44&lt;=Inputs!$D$65+Inputs!$D$66,Inputs!$D$66&gt;0),Inputs!$D$29*Inputs!$C$15/Inputs!$D$66,0)</f>
        <v>0</v>
      </c>
      <c r="AC20" s="109">
        <f>-IF(AND(AC$44&gt;Inputs!$D$65,AC$44&lt;=Inputs!$D$65+Inputs!$D$66,Inputs!$D$66&gt;0),Inputs!$D$29*Inputs!$C$15/Inputs!$D$66,0)</f>
        <v>0</v>
      </c>
      <c r="AD20" s="109">
        <f>-IF(AND(AD$44&gt;Inputs!$D$65,AD$44&lt;=Inputs!$D$65+Inputs!$D$66,Inputs!$D$66&gt;0),Inputs!$D$29*Inputs!$C$15/Inputs!$D$66,0)</f>
        <v>0</v>
      </c>
      <c r="AE20" s="109">
        <f>-IF(AND(AE$44&gt;Inputs!$D$65,AE$44&lt;=Inputs!$D$65+Inputs!$D$66,Inputs!$D$66&gt;0),Inputs!$D$29*Inputs!$C$15/Inputs!$D$66,0)</f>
        <v>0</v>
      </c>
      <c r="AF20" s="109">
        <f>-IF(AND(AF$44&gt;Inputs!$D$65,AF$44&lt;=Inputs!$D$65+Inputs!$D$66,Inputs!$D$66&gt;0),Inputs!$D$29*Inputs!$C$15/Inputs!$D$66,0)</f>
        <v>0</v>
      </c>
      <c r="AG20" s="109">
        <f>-IF(AND(AG$44&gt;Inputs!$D$65,AG$44&lt;=Inputs!$D$65+Inputs!$D$66,Inputs!$D$66&gt;0),Inputs!$D$29*Inputs!$C$15/Inputs!$D$66,0)</f>
        <v>0</v>
      </c>
      <c r="AH20" s="109">
        <f>-IF(AND(AH$44&gt;Inputs!$D$65,AH$44&lt;=Inputs!$D$65+Inputs!$D$66,Inputs!$D$66&gt;0),Inputs!$D$29*Inputs!$C$15/Inputs!$D$66,0)</f>
        <v>0</v>
      </c>
      <c r="AI20" s="109">
        <f>-IF(AND(AI$44&gt;Inputs!$D$65,AI$44&lt;=Inputs!$D$65+Inputs!$D$66,Inputs!$D$66&gt;0),Inputs!$D$29*Inputs!$C$15/Inputs!$D$66,0)</f>
        <v>0</v>
      </c>
      <c r="AJ20" s="109">
        <f>-IF(AND(AJ$44&gt;Inputs!$D$65,AJ$44&lt;=Inputs!$D$65+Inputs!$D$66,Inputs!$D$66&gt;0),Inputs!$D$29*Inputs!$C$15/Inputs!$D$66,0)</f>
        <v>0</v>
      </c>
      <c r="AK20" s="109">
        <f>-IF(AND(AK$44&gt;Inputs!$D$65,AK$44&lt;=Inputs!$D$65+Inputs!$D$66,Inputs!$D$66&gt;0),Inputs!$D$29*Inputs!$C$15/Inputs!$D$66,0)</f>
        <v>0</v>
      </c>
      <c r="AL20" s="109">
        <f>-IF(AND(AL$44&gt;Inputs!$D$65,AL$44&lt;=Inputs!$D$65+Inputs!$D$66,Inputs!$D$66&gt;0),Inputs!$D$29*Inputs!$C$15/Inputs!$D$66,0)</f>
        <v>0</v>
      </c>
      <c r="AM20" s="109">
        <f>-IF(AND(AM$44&gt;Inputs!$D$65,AM$44&lt;=Inputs!$D$65+Inputs!$D$66,Inputs!$D$66&gt;0),Inputs!$D$29*Inputs!$C$15/Inputs!$D$66,0)</f>
        <v>0</v>
      </c>
      <c r="AN20" s="109">
        <f>-IF(AND(AN$44&gt;Inputs!$D$65,AN$44&lt;=Inputs!$D$65+Inputs!$D$66,Inputs!$D$66&gt;0),Inputs!$D$29*Inputs!$C$15/Inputs!$D$66,0)</f>
        <v>0</v>
      </c>
      <c r="AO20" s="109">
        <f>-IF(AND(AO$44&gt;Inputs!$D$65,AO$44&lt;=Inputs!$D$65+Inputs!$D$66,Inputs!$D$66&gt;0),Inputs!$D$29*Inputs!$C$15/Inputs!$D$66,0)</f>
        <v>0</v>
      </c>
      <c r="AP20" s="109">
        <f>-IF(AND(AP$44&gt;Inputs!$D$65,AP$44&lt;=Inputs!$D$65+Inputs!$D$66,Inputs!$D$66&gt;0),Inputs!$D$29*Inputs!$C$15/Inputs!$D$66,0)</f>
        <v>0</v>
      </c>
      <c r="AQ20" s="109">
        <f>-IF(AND(AQ$44&gt;Inputs!$D$65,AQ$44&lt;=Inputs!$D$65+Inputs!$D$66,Inputs!$D$66&gt;0),Inputs!$D$29*Inputs!$C$15/Inputs!$D$66,0)</f>
        <v>0</v>
      </c>
      <c r="AR20" s="109">
        <f>-IF(AND(AR$44&gt;Inputs!$D$65,AR$44&lt;=Inputs!$D$65+Inputs!$D$66,Inputs!$D$66&gt;0),Inputs!$D$29*Inputs!$C$15/Inputs!$D$66,0)</f>
        <v>0</v>
      </c>
      <c r="AS20" s="109">
        <f>-IF(AND(AS$44&gt;Inputs!$D$65,AS$44&lt;=Inputs!$D$65+Inputs!$D$66,Inputs!$D$66&gt;0),Inputs!$D$29*Inputs!$C$15/Inputs!$D$66,0)</f>
        <v>0</v>
      </c>
      <c r="AT20" s="109">
        <f>-IF(AND(AT$44&gt;Inputs!$D$65,AT$44&lt;=Inputs!$D$65+Inputs!$D$66,Inputs!$D$66&gt;0),Inputs!$D$29*Inputs!$C$15/Inputs!$D$66,0)</f>
        <v>0</v>
      </c>
      <c r="AU20" s="109">
        <f>-IF(AND(AU$44&gt;Inputs!$D$65,AU$44&lt;=Inputs!$D$65+Inputs!$D$66,Inputs!$D$66&gt;0),Inputs!$D$29*Inputs!$C$15/Inputs!$D$66,0)</f>
        <v>0</v>
      </c>
      <c r="AV20" s="109">
        <f>-IF(AND(AV$44&gt;Inputs!$D$65,AV$44&lt;=Inputs!$D$65+Inputs!$D$66,Inputs!$D$66&gt;0),Inputs!$D$29*Inputs!$C$15/Inputs!$D$66,0)</f>
        <v>0</v>
      </c>
      <c r="AW20" s="109">
        <f>-IF(AND(AW$44&gt;Inputs!$D$65,AW$44&lt;=Inputs!$D$65+Inputs!$D$66,Inputs!$D$66&gt;0),Inputs!$D$29*Inputs!$C$15/Inputs!$D$66,0)</f>
        <v>0</v>
      </c>
      <c r="AX20" s="109">
        <f>-IF(AND(AX$44&gt;Inputs!$D$65,AX$44&lt;=Inputs!$D$65+Inputs!$D$66,Inputs!$D$66&gt;0),Inputs!$D$29*Inputs!$C$15/Inputs!$D$66,0)</f>
        <v>0</v>
      </c>
      <c r="AY20" s="109">
        <f>-IF(AND(AY$44&gt;Inputs!$D$65,AY$44&lt;=Inputs!$D$65+Inputs!$D$66,Inputs!$D$66&gt;0),Inputs!$D$29*Inputs!$C$15/Inputs!$D$66,0)</f>
        <v>0</v>
      </c>
      <c r="AZ20" s="109">
        <f>-IF(AND(AZ$44&gt;Inputs!$D$65,AZ$44&lt;=Inputs!$D$65+Inputs!$D$66,Inputs!$D$66&gt;0),Inputs!$D$29*Inputs!$C$15/Inputs!$D$66,0)</f>
        <v>0</v>
      </c>
      <c r="BA20" s="109">
        <f>-IF(AND(BA$44&gt;Inputs!$D$65,BA$44&lt;=Inputs!$D$65+Inputs!$D$66,Inputs!$D$66&gt;0),Inputs!$D$29*Inputs!$C$15/Inputs!$D$66,0)</f>
        <v>0</v>
      </c>
      <c r="BB20" s="109">
        <f>-IF(AND(BB$44&gt;Inputs!$D$65,BB$44&lt;=Inputs!$D$65+Inputs!$D$66,Inputs!$D$66&gt;0),Inputs!$D$29*Inputs!$C$15/Inputs!$D$66,0)</f>
        <v>0</v>
      </c>
      <c r="BC20" s="109">
        <f>-IF(AND(BC$44&gt;Inputs!$D$65,BC$44&lt;=Inputs!$D$65+Inputs!$D$66,Inputs!$D$66&gt;0),Inputs!$D$29*Inputs!$C$15/Inputs!$D$66,0)</f>
        <v>0</v>
      </c>
      <c r="BD20" s="109">
        <f>-IF(AND(BD$44&gt;Inputs!$D$65,BD$44&lt;=Inputs!$D$65+Inputs!$D$66,Inputs!$D$66&gt;0),Inputs!$D$29*Inputs!$C$15/Inputs!$D$66,0)</f>
        <v>0</v>
      </c>
      <c r="BE20" s="109">
        <f>-IF(AND(BE$44&gt;Inputs!$D$65,BE$44&lt;=Inputs!$D$65+Inputs!$D$66,Inputs!$D$66&gt;0),Inputs!$D$29*Inputs!$C$15/Inputs!$D$66,0)</f>
        <v>0</v>
      </c>
      <c r="BF20" s="109">
        <f>-IF(AND(BF$44&gt;Inputs!$D$65,BF$44&lt;=Inputs!$D$65+Inputs!$D$66,Inputs!$D$66&gt;0),Inputs!$D$29*Inputs!$C$15/Inputs!$D$66,0)</f>
        <v>0</v>
      </c>
      <c r="BG20" s="109">
        <f>-IF(AND(BG$44&gt;Inputs!$D$65,BG$44&lt;=Inputs!$D$65+Inputs!$D$66,Inputs!$D$66&gt;0),Inputs!$D$29*Inputs!$C$15/Inputs!$D$66,0)</f>
        <v>0</v>
      </c>
      <c r="BH20" s="109">
        <f>-IF(AND(BH$44&gt;Inputs!$D$65,BH$44&lt;=Inputs!$D$65+Inputs!$D$66,Inputs!$D$66&gt;0),Inputs!$D$29*Inputs!$C$15/Inputs!$D$66,0)</f>
        <v>0</v>
      </c>
      <c r="BI20" s="109">
        <f>-IF(AND(BI$44&gt;Inputs!$D$65,BI$44&lt;=Inputs!$D$65+Inputs!$D$66,Inputs!$D$66&gt;0),Inputs!$D$29*Inputs!$C$15/Inputs!$D$66,0)</f>
        <v>0</v>
      </c>
      <c r="BJ20" s="109">
        <f>-IF(AND(BJ$44&gt;Inputs!$D$65,BJ$44&lt;=Inputs!$D$65+Inputs!$D$66,Inputs!$D$66&gt;0),Inputs!$D$29*Inputs!$C$15/Inputs!$D$66,0)</f>
        <v>0</v>
      </c>
      <c r="BK20" s="109">
        <f>-IF(AND(BK$44&gt;Inputs!$D$65,BK$44&lt;=Inputs!$D$65+Inputs!$D$66,Inputs!$D$66&gt;0),Inputs!$D$29*Inputs!$C$15/Inputs!$D$66,0)</f>
        <v>0</v>
      </c>
      <c r="BL20" s="109">
        <f>-IF(AND(BL$44&gt;Inputs!$D$65,BL$44&lt;=Inputs!$D$65+Inputs!$D$66,Inputs!$D$66&gt;0),Inputs!$D$29*Inputs!$C$15/Inputs!$D$66,0)</f>
        <v>0</v>
      </c>
      <c r="BM20" s="109">
        <f>-IF(AND(BM$44&gt;Inputs!$D$65,BM$44&lt;=Inputs!$D$65+Inputs!$D$66,Inputs!$D$66&gt;0),Inputs!$D$29*Inputs!$C$15/Inputs!$D$66,0)</f>
        <v>0</v>
      </c>
      <c r="BN20" s="109">
        <f>-IF(AND(BN$44&gt;Inputs!$D$65,BN$44&lt;=Inputs!$D$65+Inputs!$D$66,Inputs!$D$66&gt;0),Inputs!$D$29*Inputs!$C$15/Inputs!$D$66,0)</f>
        <v>0</v>
      </c>
      <c r="BO20" s="109">
        <f>-IF(AND(BO$44&gt;Inputs!$D$65,BO$44&lt;=Inputs!$D$65+Inputs!$D$66,Inputs!$D$66&gt;0),Inputs!$D$29*Inputs!$C$15/Inputs!$D$66,0)</f>
        <v>0</v>
      </c>
    </row>
    <row r="21" spans="2:67" x14ac:dyDescent="0.4">
      <c r="B21" s="99" t="s">
        <v>124</v>
      </c>
      <c r="C21" s="109">
        <f>SUM(H21:BO21)</f>
        <v>0</v>
      </c>
      <c r="H21" s="109">
        <f>-IF(AND(H$44&gt;Inputs!$D$65,H$44&lt;=Inputs!$D$65+Inputs!$D$66,Inputs!$D$66&gt;0),(Inputs!$D$28+Inputs!$D$29)*Inputs!$C$15*Inputs!$E$30/Inputs!$D$66,0)</f>
        <v>0</v>
      </c>
      <c r="I21" s="109">
        <f>-IF(AND(I$44&gt;Inputs!$D$65,I$44&lt;=Inputs!$D$65+Inputs!$D$66,Inputs!$D$66&gt;0),(Inputs!$D$28+Inputs!$D$29)*Inputs!$C$15*Inputs!$E$30/Inputs!$D$66,0)</f>
        <v>0</v>
      </c>
      <c r="J21" s="109">
        <f>-IF(AND(J$44&gt;Inputs!$D$65,J$44&lt;=Inputs!$D$65+Inputs!$D$66,Inputs!$D$66&gt;0),(Inputs!$D$28+Inputs!$D$29)*Inputs!$C$15*Inputs!$E$30/Inputs!$D$66,0)</f>
        <v>0</v>
      </c>
      <c r="K21" s="109">
        <f>-IF(AND(K$44&gt;Inputs!$D$65,K$44&lt;=Inputs!$D$65+Inputs!$D$66,Inputs!$D$66&gt;0),(Inputs!$D$28+Inputs!$D$29)*Inputs!$C$15*Inputs!$E$30/Inputs!$D$66,0)</f>
        <v>0</v>
      </c>
      <c r="L21" s="109">
        <f>-IF(AND(L$44&gt;Inputs!$D$65,L$44&lt;=Inputs!$D$65+Inputs!$D$66,Inputs!$D$66&gt;0),(Inputs!$D$28+Inputs!$D$29)*Inputs!$C$15*Inputs!$E$30/Inputs!$D$66,0)</f>
        <v>0</v>
      </c>
      <c r="M21" s="109">
        <f>-IF(AND(M$44&gt;Inputs!$D$65,M$44&lt;=Inputs!$D$65+Inputs!$D$66,Inputs!$D$66&gt;0),(Inputs!$D$28+Inputs!$D$29)*Inputs!$C$15*Inputs!$E$30/Inputs!$D$66,0)</f>
        <v>0</v>
      </c>
      <c r="N21" s="109">
        <f>-IF(AND(N$44&gt;Inputs!$D$65,N$44&lt;=Inputs!$D$65+Inputs!$D$66,Inputs!$D$66&gt;0),(Inputs!$D$28+Inputs!$D$29)*Inputs!$C$15*Inputs!$E$30/Inputs!$D$66,0)</f>
        <v>0</v>
      </c>
      <c r="O21" s="109">
        <f>-IF(AND(O$44&gt;Inputs!$D$65,O$44&lt;=Inputs!$D$65+Inputs!$D$66,Inputs!$D$66&gt;0),(Inputs!$D$28+Inputs!$D$29)*Inputs!$C$15*Inputs!$E$30/Inputs!$D$66,0)</f>
        <v>0</v>
      </c>
      <c r="P21" s="109">
        <f>-IF(AND(P$44&gt;Inputs!$D$65,P$44&lt;=Inputs!$D$65+Inputs!$D$66,Inputs!$D$66&gt;0),(Inputs!$D$28+Inputs!$D$29)*Inputs!$C$15*Inputs!$E$30/Inputs!$D$66,0)</f>
        <v>0</v>
      </c>
      <c r="Q21" s="109">
        <f>-IF(AND(Q$44&gt;Inputs!$D$65,Q$44&lt;=Inputs!$D$65+Inputs!$D$66,Inputs!$D$66&gt;0),(Inputs!$D$28+Inputs!$D$29)*Inputs!$C$15*Inputs!$E$30/Inputs!$D$66,0)</f>
        <v>0</v>
      </c>
      <c r="R21" s="109">
        <f>-IF(AND(R$44&gt;Inputs!$D$65,R$44&lt;=Inputs!$D$65+Inputs!$D$66,Inputs!$D$66&gt;0),(Inputs!$D$28+Inputs!$D$29)*Inputs!$C$15*Inputs!$E$30/Inputs!$D$66,0)</f>
        <v>0</v>
      </c>
      <c r="S21" s="109">
        <f>-IF(AND(S$44&gt;Inputs!$D$65,S$44&lt;=Inputs!$D$65+Inputs!$D$66,Inputs!$D$66&gt;0),(Inputs!$D$28+Inputs!$D$29)*Inputs!$C$15*Inputs!$E$30/Inputs!$D$66,0)</f>
        <v>0</v>
      </c>
      <c r="T21" s="109">
        <f>-IF(AND(T$44&gt;Inputs!$D$65,T$44&lt;=Inputs!$D$65+Inputs!$D$66,Inputs!$D$66&gt;0),(Inputs!$D$28+Inputs!$D$29)*Inputs!$C$15*Inputs!$E$30/Inputs!$D$66,0)</f>
        <v>0</v>
      </c>
      <c r="U21" s="109">
        <f>-IF(AND(U$44&gt;Inputs!$D$65,U$44&lt;=Inputs!$D$65+Inputs!$D$66,Inputs!$D$66&gt;0),(Inputs!$D$28+Inputs!$D$29)*Inputs!$C$15*Inputs!$E$30/Inputs!$D$66,0)</f>
        <v>0</v>
      </c>
      <c r="V21" s="109">
        <f>-IF(AND(V$44&gt;Inputs!$D$65,V$44&lt;=Inputs!$D$65+Inputs!$D$66,Inputs!$D$66&gt;0),(Inputs!$D$28+Inputs!$D$29)*Inputs!$C$15*Inputs!$E$30/Inputs!$D$66,0)</f>
        <v>0</v>
      </c>
      <c r="W21" s="109">
        <f>-IF(AND(W$44&gt;Inputs!$D$65,W$44&lt;=Inputs!$D$65+Inputs!$D$66,Inputs!$D$66&gt;0),(Inputs!$D$28+Inputs!$D$29)*Inputs!$C$15*Inputs!$E$30/Inputs!$D$66,0)</f>
        <v>0</v>
      </c>
      <c r="X21" s="109">
        <f>-IF(AND(X$44&gt;Inputs!$D$65,X$44&lt;=Inputs!$D$65+Inputs!$D$66,Inputs!$D$66&gt;0),(Inputs!$D$28+Inputs!$D$29)*Inputs!$C$15*Inputs!$E$30/Inputs!$D$66,0)</f>
        <v>0</v>
      </c>
      <c r="Y21" s="109">
        <f>-IF(AND(Y$44&gt;Inputs!$D$65,Y$44&lt;=Inputs!$D$65+Inputs!$D$66,Inputs!$D$66&gt;0),(Inputs!$D$28+Inputs!$D$29)*Inputs!$C$15*Inputs!$E$30/Inputs!$D$66,0)</f>
        <v>0</v>
      </c>
      <c r="Z21" s="109">
        <f>-IF(AND(Z$44&gt;Inputs!$D$65,Z$44&lt;=Inputs!$D$65+Inputs!$D$66,Inputs!$D$66&gt;0),(Inputs!$D$28+Inputs!$D$29)*Inputs!$C$15*Inputs!$E$30/Inputs!$D$66,0)</f>
        <v>0</v>
      </c>
      <c r="AA21" s="109">
        <f>-IF(AND(AA$44&gt;Inputs!$D$65,AA$44&lt;=Inputs!$D$65+Inputs!$D$66,Inputs!$D$66&gt;0),(Inputs!$D$28+Inputs!$D$29)*Inputs!$C$15*Inputs!$E$30/Inputs!$D$66,0)</f>
        <v>0</v>
      </c>
      <c r="AB21" s="109">
        <f>-IF(AND(AB$44&gt;Inputs!$D$65,AB$44&lt;=Inputs!$D$65+Inputs!$D$66,Inputs!$D$66&gt;0),(Inputs!$D$28+Inputs!$D$29)*Inputs!$C$15*Inputs!$E$30/Inputs!$D$66,0)</f>
        <v>0</v>
      </c>
      <c r="AC21" s="109">
        <f>-IF(AND(AC$44&gt;Inputs!$D$65,AC$44&lt;=Inputs!$D$65+Inputs!$D$66,Inputs!$D$66&gt;0),(Inputs!$D$28+Inputs!$D$29)*Inputs!$C$15*Inputs!$E$30/Inputs!$D$66,0)</f>
        <v>0</v>
      </c>
      <c r="AD21" s="109">
        <f>-IF(AND(AD$44&gt;Inputs!$D$65,AD$44&lt;=Inputs!$D$65+Inputs!$D$66,Inputs!$D$66&gt;0),(Inputs!$D$28+Inputs!$D$29)*Inputs!$C$15*Inputs!$E$30/Inputs!$D$66,0)</f>
        <v>0</v>
      </c>
      <c r="AE21" s="109">
        <f>-IF(AND(AE$44&gt;Inputs!$D$65,AE$44&lt;=Inputs!$D$65+Inputs!$D$66,Inputs!$D$66&gt;0),(Inputs!$D$28+Inputs!$D$29)*Inputs!$C$15*Inputs!$E$30/Inputs!$D$66,0)</f>
        <v>0</v>
      </c>
      <c r="AF21" s="109">
        <f>-IF(AND(AF$44&gt;Inputs!$D$65,AF$44&lt;=Inputs!$D$65+Inputs!$D$66,Inputs!$D$66&gt;0),(Inputs!$D$28+Inputs!$D$29)*Inputs!$C$15*Inputs!$E$30/Inputs!$D$66,0)</f>
        <v>0</v>
      </c>
      <c r="AG21" s="109">
        <f>-IF(AND(AG$44&gt;Inputs!$D$65,AG$44&lt;=Inputs!$D$65+Inputs!$D$66,Inputs!$D$66&gt;0),(Inputs!$D$28+Inputs!$D$29)*Inputs!$C$15*Inputs!$E$30/Inputs!$D$66,0)</f>
        <v>0</v>
      </c>
      <c r="AH21" s="109">
        <f>-IF(AND(AH$44&gt;Inputs!$D$65,AH$44&lt;=Inputs!$D$65+Inputs!$D$66,Inputs!$D$66&gt;0),(Inputs!$D$28+Inputs!$D$29)*Inputs!$C$15*Inputs!$E$30/Inputs!$D$66,0)</f>
        <v>0</v>
      </c>
      <c r="AI21" s="109">
        <f>-IF(AND(AI$44&gt;Inputs!$D$65,AI$44&lt;=Inputs!$D$65+Inputs!$D$66,Inputs!$D$66&gt;0),(Inputs!$D$28+Inputs!$D$29)*Inputs!$C$15*Inputs!$E$30/Inputs!$D$66,0)</f>
        <v>0</v>
      </c>
      <c r="AJ21" s="109">
        <f>-IF(AND(AJ$44&gt;Inputs!$D$65,AJ$44&lt;=Inputs!$D$65+Inputs!$D$66,Inputs!$D$66&gt;0),(Inputs!$D$28+Inputs!$D$29)*Inputs!$C$15*Inputs!$E$30/Inputs!$D$66,0)</f>
        <v>0</v>
      </c>
      <c r="AK21" s="109">
        <f>-IF(AND(AK$44&gt;Inputs!$D$65,AK$44&lt;=Inputs!$D$65+Inputs!$D$66,Inputs!$D$66&gt;0),(Inputs!$D$28+Inputs!$D$29)*Inputs!$C$15*Inputs!$E$30/Inputs!$D$66,0)</f>
        <v>0</v>
      </c>
      <c r="AL21" s="109">
        <f>-IF(AND(AL$44&gt;Inputs!$D$65,AL$44&lt;=Inputs!$D$65+Inputs!$D$66,Inputs!$D$66&gt;0),(Inputs!$D$28+Inputs!$D$29)*Inputs!$C$15*Inputs!$E$30/Inputs!$D$66,0)</f>
        <v>0</v>
      </c>
      <c r="AM21" s="109">
        <f>-IF(AND(AM$44&gt;Inputs!$D$65,AM$44&lt;=Inputs!$D$65+Inputs!$D$66,Inputs!$D$66&gt;0),(Inputs!$D$28+Inputs!$D$29)*Inputs!$C$15*Inputs!$E$30/Inputs!$D$66,0)</f>
        <v>0</v>
      </c>
      <c r="AN21" s="109">
        <f>-IF(AND(AN$44&gt;Inputs!$D$65,AN$44&lt;=Inputs!$D$65+Inputs!$D$66,Inputs!$D$66&gt;0),(Inputs!$D$28+Inputs!$D$29)*Inputs!$C$15*Inputs!$E$30/Inputs!$D$66,0)</f>
        <v>0</v>
      </c>
      <c r="AO21" s="109">
        <f>-IF(AND(AO$44&gt;Inputs!$D$65,AO$44&lt;=Inputs!$D$65+Inputs!$D$66,Inputs!$D$66&gt;0),(Inputs!$D$28+Inputs!$D$29)*Inputs!$C$15*Inputs!$E$30/Inputs!$D$66,0)</f>
        <v>0</v>
      </c>
      <c r="AP21" s="109">
        <f>-IF(AND(AP$44&gt;Inputs!$D$65,AP$44&lt;=Inputs!$D$65+Inputs!$D$66,Inputs!$D$66&gt;0),(Inputs!$D$28+Inputs!$D$29)*Inputs!$C$15*Inputs!$E$30/Inputs!$D$66,0)</f>
        <v>0</v>
      </c>
      <c r="AQ21" s="109">
        <f>-IF(AND(AQ$44&gt;Inputs!$D$65,AQ$44&lt;=Inputs!$D$65+Inputs!$D$66,Inputs!$D$66&gt;0),(Inputs!$D$28+Inputs!$D$29)*Inputs!$C$15*Inputs!$E$30/Inputs!$D$66,0)</f>
        <v>0</v>
      </c>
      <c r="AR21" s="109">
        <f>-IF(AND(AR$44&gt;Inputs!$D$65,AR$44&lt;=Inputs!$D$65+Inputs!$D$66,Inputs!$D$66&gt;0),(Inputs!$D$28+Inputs!$D$29)*Inputs!$C$15*Inputs!$E$30/Inputs!$D$66,0)</f>
        <v>0</v>
      </c>
      <c r="AS21" s="109">
        <f>-IF(AND(AS$44&gt;Inputs!$D$65,AS$44&lt;=Inputs!$D$65+Inputs!$D$66,Inputs!$D$66&gt;0),(Inputs!$D$28+Inputs!$D$29)*Inputs!$C$15*Inputs!$E$30/Inputs!$D$66,0)</f>
        <v>0</v>
      </c>
      <c r="AT21" s="109">
        <f>-IF(AND(AT$44&gt;Inputs!$D$65,AT$44&lt;=Inputs!$D$65+Inputs!$D$66,Inputs!$D$66&gt;0),(Inputs!$D$28+Inputs!$D$29)*Inputs!$C$15*Inputs!$E$30/Inputs!$D$66,0)</f>
        <v>0</v>
      </c>
      <c r="AU21" s="109">
        <f>-IF(AND(AU$44&gt;Inputs!$D$65,AU$44&lt;=Inputs!$D$65+Inputs!$D$66,Inputs!$D$66&gt;0),(Inputs!$D$28+Inputs!$D$29)*Inputs!$C$15*Inputs!$E$30/Inputs!$D$66,0)</f>
        <v>0</v>
      </c>
      <c r="AV21" s="109">
        <f>-IF(AND(AV$44&gt;Inputs!$D$65,AV$44&lt;=Inputs!$D$65+Inputs!$D$66,Inputs!$D$66&gt;0),(Inputs!$D$28+Inputs!$D$29)*Inputs!$C$15*Inputs!$E$30/Inputs!$D$66,0)</f>
        <v>0</v>
      </c>
      <c r="AW21" s="109">
        <f>-IF(AND(AW$44&gt;Inputs!$D$65,AW$44&lt;=Inputs!$D$65+Inputs!$D$66,Inputs!$D$66&gt;0),(Inputs!$D$28+Inputs!$D$29)*Inputs!$C$15*Inputs!$E$30/Inputs!$D$66,0)</f>
        <v>0</v>
      </c>
      <c r="AX21" s="109">
        <f>-IF(AND(AX$44&gt;Inputs!$D$65,AX$44&lt;=Inputs!$D$65+Inputs!$D$66,Inputs!$D$66&gt;0),(Inputs!$D$28+Inputs!$D$29)*Inputs!$C$15*Inputs!$E$30/Inputs!$D$66,0)</f>
        <v>0</v>
      </c>
      <c r="AY21" s="109">
        <f>-IF(AND(AY$44&gt;Inputs!$D$65,AY$44&lt;=Inputs!$D$65+Inputs!$D$66,Inputs!$D$66&gt;0),(Inputs!$D$28+Inputs!$D$29)*Inputs!$C$15*Inputs!$E$30/Inputs!$D$66,0)</f>
        <v>0</v>
      </c>
      <c r="AZ21" s="109">
        <f>-IF(AND(AZ$44&gt;Inputs!$D$65,AZ$44&lt;=Inputs!$D$65+Inputs!$D$66,Inputs!$D$66&gt;0),(Inputs!$D$28+Inputs!$D$29)*Inputs!$C$15*Inputs!$E$30/Inputs!$D$66,0)</f>
        <v>0</v>
      </c>
      <c r="BA21" s="109">
        <f>-IF(AND(BA$44&gt;Inputs!$D$65,BA$44&lt;=Inputs!$D$65+Inputs!$D$66,Inputs!$D$66&gt;0),(Inputs!$D$28+Inputs!$D$29)*Inputs!$C$15*Inputs!$E$30/Inputs!$D$66,0)</f>
        <v>0</v>
      </c>
      <c r="BB21" s="109">
        <f>-IF(AND(BB$44&gt;Inputs!$D$65,BB$44&lt;=Inputs!$D$65+Inputs!$D$66,Inputs!$D$66&gt;0),(Inputs!$D$28+Inputs!$D$29)*Inputs!$C$15*Inputs!$E$30/Inputs!$D$66,0)</f>
        <v>0</v>
      </c>
      <c r="BC21" s="109">
        <f>-IF(AND(BC$44&gt;Inputs!$D$65,BC$44&lt;=Inputs!$D$65+Inputs!$D$66,Inputs!$D$66&gt;0),(Inputs!$D$28+Inputs!$D$29)*Inputs!$C$15*Inputs!$E$30/Inputs!$D$66,0)</f>
        <v>0</v>
      </c>
      <c r="BD21" s="109">
        <f>-IF(AND(BD$44&gt;Inputs!$D$65,BD$44&lt;=Inputs!$D$65+Inputs!$D$66,Inputs!$D$66&gt;0),(Inputs!$D$28+Inputs!$D$29)*Inputs!$C$15*Inputs!$E$30/Inputs!$D$66,0)</f>
        <v>0</v>
      </c>
      <c r="BE21" s="109">
        <f>-IF(AND(BE$44&gt;Inputs!$D$65,BE$44&lt;=Inputs!$D$65+Inputs!$D$66,Inputs!$D$66&gt;0),(Inputs!$D$28+Inputs!$D$29)*Inputs!$C$15*Inputs!$E$30/Inputs!$D$66,0)</f>
        <v>0</v>
      </c>
      <c r="BF21" s="109">
        <f>-IF(AND(BF$44&gt;Inputs!$D$65,BF$44&lt;=Inputs!$D$65+Inputs!$D$66,Inputs!$D$66&gt;0),(Inputs!$D$28+Inputs!$D$29)*Inputs!$C$15*Inputs!$E$30/Inputs!$D$66,0)</f>
        <v>0</v>
      </c>
      <c r="BG21" s="109">
        <f>-IF(AND(BG$44&gt;Inputs!$D$65,BG$44&lt;=Inputs!$D$65+Inputs!$D$66,Inputs!$D$66&gt;0),(Inputs!$D$28+Inputs!$D$29)*Inputs!$C$15*Inputs!$E$30/Inputs!$D$66,0)</f>
        <v>0</v>
      </c>
      <c r="BH21" s="109">
        <f>-IF(AND(BH$44&gt;Inputs!$D$65,BH$44&lt;=Inputs!$D$65+Inputs!$D$66,Inputs!$D$66&gt;0),(Inputs!$D$28+Inputs!$D$29)*Inputs!$C$15*Inputs!$E$30/Inputs!$D$66,0)</f>
        <v>0</v>
      </c>
      <c r="BI21" s="109">
        <f>-IF(AND(BI$44&gt;Inputs!$D$65,BI$44&lt;=Inputs!$D$65+Inputs!$D$66,Inputs!$D$66&gt;0),(Inputs!$D$28+Inputs!$D$29)*Inputs!$C$15*Inputs!$E$30/Inputs!$D$66,0)</f>
        <v>0</v>
      </c>
      <c r="BJ21" s="109">
        <f>-IF(AND(BJ$44&gt;Inputs!$D$65,BJ$44&lt;=Inputs!$D$65+Inputs!$D$66,Inputs!$D$66&gt;0),(Inputs!$D$28+Inputs!$D$29)*Inputs!$C$15*Inputs!$E$30/Inputs!$D$66,0)</f>
        <v>0</v>
      </c>
      <c r="BK21" s="109">
        <f>-IF(AND(BK$44&gt;Inputs!$D$65,BK$44&lt;=Inputs!$D$65+Inputs!$D$66,Inputs!$D$66&gt;0),(Inputs!$D$28+Inputs!$D$29)*Inputs!$C$15*Inputs!$E$30/Inputs!$D$66,0)</f>
        <v>0</v>
      </c>
      <c r="BL21" s="109">
        <f>-IF(AND(BL$44&gt;Inputs!$D$65,BL$44&lt;=Inputs!$D$65+Inputs!$D$66,Inputs!$D$66&gt;0),(Inputs!$D$28+Inputs!$D$29)*Inputs!$C$15*Inputs!$E$30/Inputs!$D$66,0)</f>
        <v>0</v>
      </c>
      <c r="BM21" s="109">
        <f>-IF(AND(BM$44&gt;Inputs!$D$65,BM$44&lt;=Inputs!$D$65+Inputs!$D$66,Inputs!$D$66&gt;0),(Inputs!$D$28+Inputs!$D$29)*Inputs!$C$15*Inputs!$E$30/Inputs!$D$66,0)</f>
        <v>0</v>
      </c>
      <c r="BN21" s="109">
        <f>-IF(AND(BN$44&gt;Inputs!$D$65,BN$44&lt;=Inputs!$D$65+Inputs!$D$66,Inputs!$D$66&gt;0),(Inputs!$D$28+Inputs!$D$29)*Inputs!$C$15*Inputs!$E$30/Inputs!$D$66,0)</f>
        <v>0</v>
      </c>
      <c r="BO21" s="109">
        <f>-IF(AND(BO$44&gt;Inputs!$D$65,BO$44&lt;=Inputs!$D$65+Inputs!$D$66,Inputs!$D$66&gt;0),(Inputs!$D$28+Inputs!$D$29)*Inputs!$C$15*Inputs!$E$30/Inputs!$D$66,0)</f>
        <v>0</v>
      </c>
    </row>
    <row r="22" spans="2:67" x14ac:dyDescent="0.4">
      <c r="B22" s="99" t="s">
        <v>88</v>
      </c>
      <c r="C22" s="109">
        <f>SUM(H22:BO22)</f>
        <v>0</v>
      </c>
      <c r="H22" s="109">
        <f>-H50</f>
        <v>0</v>
      </c>
      <c r="I22" s="109">
        <f t="shared" ref="I22:BO22" si="3">-I50</f>
        <v>0</v>
      </c>
      <c r="J22" s="109">
        <f t="shared" si="3"/>
        <v>0</v>
      </c>
      <c r="K22" s="109">
        <f t="shared" si="3"/>
        <v>0</v>
      </c>
      <c r="L22" s="109">
        <f t="shared" si="3"/>
        <v>0</v>
      </c>
      <c r="M22" s="109">
        <f t="shared" si="3"/>
        <v>0</v>
      </c>
      <c r="N22" s="109">
        <f t="shared" si="3"/>
        <v>0</v>
      </c>
      <c r="O22" s="109">
        <f t="shared" si="3"/>
        <v>0</v>
      </c>
      <c r="P22" s="109">
        <f t="shared" si="3"/>
        <v>0</v>
      </c>
      <c r="Q22" s="109">
        <f t="shared" si="3"/>
        <v>0</v>
      </c>
      <c r="R22" s="109">
        <f t="shared" si="3"/>
        <v>0</v>
      </c>
      <c r="S22" s="109">
        <f t="shared" si="3"/>
        <v>0</v>
      </c>
      <c r="T22" s="109">
        <f t="shared" si="3"/>
        <v>0</v>
      </c>
      <c r="U22" s="109">
        <f t="shared" si="3"/>
        <v>0</v>
      </c>
      <c r="V22" s="109">
        <f t="shared" si="3"/>
        <v>0</v>
      </c>
      <c r="W22" s="109">
        <f t="shared" si="3"/>
        <v>0</v>
      </c>
      <c r="X22" s="109">
        <f t="shared" si="3"/>
        <v>0</v>
      </c>
      <c r="Y22" s="109">
        <f t="shared" si="3"/>
        <v>0</v>
      </c>
      <c r="Z22" s="109">
        <f t="shared" si="3"/>
        <v>0</v>
      </c>
      <c r="AA22" s="109">
        <f t="shared" si="3"/>
        <v>0</v>
      </c>
      <c r="AB22" s="109">
        <f t="shared" si="3"/>
        <v>0</v>
      </c>
      <c r="AC22" s="109">
        <f t="shared" si="3"/>
        <v>0</v>
      </c>
      <c r="AD22" s="109">
        <f t="shared" si="3"/>
        <v>0</v>
      </c>
      <c r="AE22" s="109">
        <f t="shared" si="3"/>
        <v>0</v>
      </c>
      <c r="AF22" s="109">
        <f t="shared" si="3"/>
        <v>0</v>
      </c>
      <c r="AG22" s="109">
        <f t="shared" si="3"/>
        <v>0</v>
      </c>
      <c r="AH22" s="109">
        <f t="shared" si="3"/>
        <v>0</v>
      </c>
      <c r="AI22" s="109">
        <f t="shared" si="3"/>
        <v>0</v>
      </c>
      <c r="AJ22" s="109">
        <f t="shared" si="3"/>
        <v>0</v>
      </c>
      <c r="AK22" s="109">
        <f t="shared" si="3"/>
        <v>0</v>
      </c>
      <c r="AL22" s="109">
        <f t="shared" si="3"/>
        <v>0</v>
      </c>
      <c r="AM22" s="109">
        <f t="shared" si="3"/>
        <v>0</v>
      </c>
      <c r="AN22" s="109">
        <f t="shared" si="3"/>
        <v>0</v>
      </c>
      <c r="AO22" s="109">
        <f t="shared" si="3"/>
        <v>0</v>
      </c>
      <c r="AP22" s="109">
        <f t="shared" si="3"/>
        <v>0</v>
      </c>
      <c r="AQ22" s="109">
        <f t="shared" si="3"/>
        <v>0</v>
      </c>
      <c r="AR22" s="109">
        <f t="shared" si="3"/>
        <v>0</v>
      </c>
      <c r="AS22" s="109">
        <f t="shared" si="3"/>
        <v>0</v>
      </c>
      <c r="AT22" s="109">
        <f t="shared" si="3"/>
        <v>0</v>
      </c>
      <c r="AU22" s="109">
        <f t="shared" si="3"/>
        <v>0</v>
      </c>
      <c r="AV22" s="109">
        <f t="shared" si="3"/>
        <v>0</v>
      </c>
      <c r="AW22" s="109">
        <f t="shared" si="3"/>
        <v>0</v>
      </c>
      <c r="AX22" s="109">
        <f t="shared" si="3"/>
        <v>0</v>
      </c>
      <c r="AY22" s="109">
        <f t="shared" si="3"/>
        <v>0</v>
      </c>
      <c r="AZ22" s="109">
        <f t="shared" si="3"/>
        <v>0</v>
      </c>
      <c r="BA22" s="109">
        <f t="shared" si="3"/>
        <v>0</v>
      </c>
      <c r="BB22" s="109">
        <f t="shared" si="3"/>
        <v>0</v>
      </c>
      <c r="BC22" s="109">
        <f t="shared" si="3"/>
        <v>0</v>
      </c>
      <c r="BD22" s="109">
        <f t="shared" si="3"/>
        <v>0</v>
      </c>
      <c r="BE22" s="109">
        <f t="shared" si="3"/>
        <v>0</v>
      </c>
      <c r="BF22" s="109">
        <f t="shared" si="3"/>
        <v>0</v>
      </c>
      <c r="BG22" s="109">
        <f t="shared" si="3"/>
        <v>0</v>
      </c>
      <c r="BH22" s="109">
        <f t="shared" si="3"/>
        <v>0</v>
      </c>
      <c r="BI22" s="109">
        <f t="shared" si="3"/>
        <v>0</v>
      </c>
      <c r="BJ22" s="109">
        <f t="shared" si="3"/>
        <v>0</v>
      </c>
      <c r="BK22" s="109">
        <f t="shared" si="3"/>
        <v>0</v>
      </c>
      <c r="BL22" s="109">
        <f t="shared" si="3"/>
        <v>0</v>
      </c>
      <c r="BM22" s="109">
        <f t="shared" si="3"/>
        <v>0</v>
      </c>
      <c r="BN22" s="109">
        <f t="shared" si="3"/>
        <v>0</v>
      </c>
      <c r="BO22" s="109">
        <f t="shared" si="3"/>
        <v>0</v>
      </c>
    </row>
    <row r="23" spans="2:67" x14ac:dyDescent="0.4">
      <c r="B23" s="100" t="s">
        <v>125</v>
      </c>
      <c r="C23" s="110">
        <f>SUM(H23:BO23)</f>
        <v>0</v>
      </c>
      <c r="H23" s="110">
        <f>SUM(H18:H22)</f>
        <v>0</v>
      </c>
      <c r="I23" s="110">
        <f t="shared" ref="I23:BO23" si="4">SUM(I18:I22)</f>
        <v>0</v>
      </c>
      <c r="J23" s="110">
        <f t="shared" si="4"/>
        <v>0</v>
      </c>
      <c r="K23" s="110">
        <f t="shared" si="4"/>
        <v>0</v>
      </c>
      <c r="L23" s="110">
        <f t="shared" si="4"/>
        <v>0</v>
      </c>
      <c r="M23" s="110">
        <f t="shared" si="4"/>
        <v>0</v>
      </c>
      <c r="N23" s="110">
        <f t="shared" si="4"/>
        <v>0</v>
      </c>
      <c r="O23" s="110">
        <f t="shared" si="4"/>
        <v>0</v>
      </c>
      <c r="P23" s="110">
        <f t="shared" si="4"/>
        <v>0</v>
      </c>
      <c r="Q23" s="110">
        <f t="shared" si="4"/>
        <v>0</v>
      </c>
      <c r="R23" s="110">
        <f t="shared" si="4"/>
        <v>0</v>
      </c>
      <c r="S23" s="110">
        <f t="shared" si="4"/>
        <v>0</v>
      </c>
      <c r="T23" s="110">
        <f t="shared" si="4"/>
        <v>0</v>
      </c>
      <c r="U23" s="110">
        <f t="shared" si="4"/>
        <v>0</v>
      </c>
      <c r="V23" s="110">
        <f t="shared" si="4"/>
        <v>0</v>
      </c>
      <c r="W23" s="110">
        <f t="shared" si="4"/>
        <v>0</v>
      </c>
      <c r="X23" s="110">
        <f t="shared" si="4"/>
        <v>0</v>
      </c>
      <c r="Y23" s="110">
        <f t="shared" si="4"/>
        <v>0</v>
      </c>
      <c r="Z23" s="110">
        <f t="shared" si="4"/>
        <v>0</v>
      </c>
      <c r="AA23" s="110">
        <f t="shared" si="4"/>
        <v>0</v>
      </c>
      <c r="AB23" s="110">
        <f t="shared" si="4"/>
        <v>0</v>
      </c>
      <c r="AC23" s="110">
        <f t="shared" si="4"/>
        <v>0</v>
      </c>
      <c r="AD23" s="110">
        <f t="shared" si="4"/>
        <v>0</v>
      </c>
      <c r="AE23" s="110">
        <f t="shared" si="4"/>
        <v>0</v>
      </c>
      <c r="AF23" s="110">
        <f t="shared" si="4"/>
        <v>0</v>
      </c>
      <c r="AG23" s="110">
        <f t="shared" si="4"/>
        <v>0</v>
      </c>
      <c r="AH23" s="110">
        <f t="shared" si="4"/>
        <v>0</v>
      </c>
      <c r="AI23" s="110">
        <f t="shared" si="4"/>
        <v>0</v>
      </c>
      <c r="AJ23" s="110">
        <f t="shared" si="4"/>
        <v>0</v>
      </c>
      <c r="AK23" s="110">
        <f t="shared" si="4"/>
        <v>0</v>
      </c>
      <c r="AL23" s="110">
        <f t="shared" si="4"/>
        <v>0</v>
      </c>
      <c r="AM23" s="110">
        <f t="shared" si="4"/>
        <v>0</v>
      </c>
      <c r="AN23" s="110">
        <f t="shared" si="4"/>
        <v>0</v>
      </c>
      <c r="AO23" s="110">
        <f t="shared" si="4"/>
        <v>0</v>
      </c>
      <c r="AP23" s="110">
        <f t="shared" si="4"/>
        <v>0</v>
      </c>
      <c r="AQ23" s="110">
        <f t="shared" si="4"/>
        <v>0</v>
      </c>
      <c r="AR23" s="110">
        <f t="shared" si="4"/>
        <v>0</v>
      </c>
      <c r="AS23" s="110">
        <f t="shared" si="4"/>
        <v>0</v>
      </c>
      <c r="AT23" s="110">
        <f t="shared" si="4"/>
        <v>0</v>
      </c>
      <c r="AU23" s="110">
        <f t="shared" si="4"/>
        <v>0</v>
      </c>
      <c r="AV23" s="110">
        <f t="shared" si="4"/>
        <v>0</v>
      </c>
      <c r="AW23" s="110">
        <f t="shared" si="4"/>
        <v>0</v>
      </c>
      <c r="AX23" s="110">
        <f t="shared" si="4"/>
        <v>0</v>
      </c>
      <c r="AY23" s="110">
        <f t="shared" si="4"/>
        <v>0</v>
      </c>
      <c r="AZ23" s="110">
        <f t="shared" si="4"/>
        <v>0</v>
      </c>
      <c r="BA23" s="110">
        <f t="shared" si="4"/>
        <v>0</v>
      </c>
      <c r="BB23" s="110">
        <f t="shared" si="4"/>
        <v>0</v>
      </c>
      <c r="BC23" s="110">
        <f t="shared" si="4"/>
        <v>0</v>
      </c>
      <c r="BD23" s="110">
        <f t="shared" si="4"/>
        <v>0</v>
      </c>
      <c r="BE23" s="110">
        <f t="shared" si="4"/>
        <v>0</v>
      </c>
      <c r="BF23" s="110">
        <f t="shared" si="4"/>
        <v>0</v>
      </c>
      <c r="BG23" s="110">
        <f t="shared" si="4"/>
        <v>0</v>
      </c>
      <c r="BH23" s="110">
        <f t="shared" si="4"/>
        <v>0</v>
      </c>
      <c r="BI23" s="110">
        <f t="shared" si="4"/>
        <v>0</v>
      </c>
      <c r="BJ23" s="110">
        <f t="shared" si="4"/>
        <v>0</v>
      </c>
      <c r="BK23" s="110">
        <f t="shared" si="4"/>
        <v>0</v>
      </c>
      <c r="BL23" s="110">
        <f t="shared" si="4"/>
        <v>0</v>
      </c>
      <c r="BM23" s="110">
        <f t="shared" si="4"/>
        <v>0</v>
      </c>
      <c r="BN23" s="110">
        <f t="shared" si="4"/>
        <v>0</v>
      </c>
      <c r="BO23" s="110">
        <f t="shared" si="4"/>
        <v>0</v>
      </c>
    </row>
    <row r="25" spans="2:67" x14ac:dyDescent="0.4">
      <c r="B25" s="101" t="s">
        <v>126</v>
      </c>
      <c r="C25" s="111">
        <f>SUM(H25:BO25)</f>
        <v>0</v>
      </c>
      <c r="H25" s="111">
        <f>H16+H23</f>
        <v>0</v>
      </c>
      <c r="I25" s="111">
        <f t="shared" ref="I25:BO25" si="5">I16+I23</f>
        <v>0</v>
      </c>
      <c r="J25" s="111">
        <f t="shared" si="5"/>
        <v>0</v>
      </c>
      <c r="K25" s="111">
        <f t="shared" si="5"/>
        <v>0</v>
      </c>
      <c r="L25" s="111">
        <f t="shared" si="5"/>
        <v>0</v>
      </c>
      <c r="M25" s="111">
        <f t="shared" si="5"/>
        <v>0</v>
      </c>
      <c r="N25" s="111">
        <f t="shared" si="5"/>
        <v>0</v>
      </c>
      <c r="O25" s="111">
        <f t="shared" si="5"/>
        <v>0</v>
      </c>
      <c r="P25" s="111">
        <f t="shared" si="5"/>
        <v>0</v>
      </c>
      <c r="Q25" s="111">
        <f t="shared" si="5"/>
        <v>0</v>
      </c>
      <c r="R25" s="111">
        <f t="shared" si="5"/>
        <v>0</v>
      </c>
      <c r="S25" s="111">
        <f t="shared" si="5"/>
        <v>0</v>
      </c>
      <c r="T25" s="111">
        <f t="shared" si="5"/>
        <v>0</v>
      </c>
      <c r="U25" s="111">
        <f t="shared" si="5"/>
        <v>0</v>
      </c>
      <c r="V25" s="111">
        <f t="shared" si="5"/>
        <v>0</v>
      </c>
      <c r="W25" s="111">
        <f t="shared" si="5"/>
        <v>0</v>
      </c>
      <c r="X25" s="111">
        <f t="shared" si="5"/>
        <v>0</v>
      </c>
      <c r="Y25" s="111">
        <f t="shared" si="5"/>
        <v>0</v>
      </c>
      <c r="Z25" s="111">
        <f t="shared" si="5"/>
        <v>0</v>
      </c>
      <c r="AA25" s="111">
        <f t="shared" si="5"/>
        <v>0</v>
      </c>
      <c r="AB25" s="111">
        <f t="shared" si="5"/>
        <v>0</v>
      </c>
      <c r="AC25" s="111">
        <f t="shared" si="5"/>
        <v>0</v>
      </c>
      <c r="AD25" s="111">
        <f t="shared" si="5"/>
        <v>0</v>
      </c>
      <c r="AE25" s="111">
        <f t="shared" si="5"/>
        <v>0</v>
      </c>
      <c r="AF25" s="111">
        <f t="shared" si="5"/>
        <v>0</v>
      </c>
      <c r="AG25" s="111">
        <f t="shared" si="5"/>
        <v>0</v>
      </c>
      <c r="AH25" s="111">
        <f t="shared" si="5"/>
        <v>0</v>
      </c>
      <c r="AI25" s="111">
        <f t="shared" si="5"/>
        <v>0</v>
      </c>
      <c r="AJ25" s="111">
        <f t="shared" si="5"/>
        <v>0</v>
      </c>
      <c r="AK25" s="111">
        <f t="shared" si="5"/>
        <v>0</v>
      </c>
      <c r="AL25" s="111">
        <f t="shared" si="5"/>
        <v>0</v>
      </c>
      <c r="AM25" s="111">
        <f t="shared" si="5"/>
        <v>0</v>
      </c>
      <c r="AN25" s="111">
        <f t="shared" si="5"/>
        <v>0</v>
      </c>
      <c r="AO25" s="111">
        <f t="shared" si="5"/>
        <v>0</v>
      </c>
      <c r="AP25" s="111">
        <f t="shared" si="5"/>
        <v>0</v>
      </c>
      <c r="AQ25" s="111">
        <f t="shared" si="5"/>
        <v>0</v>
      </c>
      <c r="AR25" s="111">
        <f t="shared" si="5"/>
        <v>0</v>
      </c>
      <c r="AS25" s="111">
        <f t="shared" si="5"/>
        <v>0</v>
      </c>
      <c r="AT25" s="111">
        <f t="shared" si="5"/>
        <v>0</v>
      </c>
      <c r="AU25" s="111">
        <f t="shared" si="5"/>
        <v>0</v>
      </c>
      <c r="AV25" s="111">
        <f t="shared" si="5"/>
        <v>0</v>
      </c>
      <c r="AW25" s="111">
        <f t="shared" si="5"/>
        <v>0</v>
      </c>
      <c r="AX25" s="111">
        <f t="shared" si="5"/>
        <v>0</v>
      </c>
      <c r="AY25" s="111">
        <f t="shared" si="5"/>
        <v>0</v>
      </c>
      <c r="AZ25" s="111">
        <f t="shared" si="5"/>
        <v>0</v>
      </c>
      <c r="BA25" s="111">
        <f t="shared" si="5"/>
        <v>0</v>
      </c>
      <c r="BB25" s="111">
        <f t="shared" si="5"/>
        <v>0</v>
      </c>
      <c r="BC25" s="111">
        <f t="shared" si="5"/>
        <v>0</v>
      </c>
      <c r="BD25" s="111">
        <f t="shared" si="5"/>
        <v>0</v>
      </c>
      <c r="BE25" s="111">
        <f t="shared" si="5"/>
        <v>0</v>
      </c>
      <c r="BF25" s="111">
        <f t="shared" si="5"/>
        <v>0</v>
      </c>
      <c r="BG25" s="111">
        <f t="shared" si="5"/>
        <v>0</v>
      </c>
      <c r="BH25" s="111">
        <f t="shared" si="5"/>
        <v>0</v>
      </c>
      <c r="BI25" s="111">
        <f t="shared" si="5"/>
        <v>0</v>
      </c>
      <c r="BJ25" s="111">
        <f t="shared" si="5"/>
        <v>0</v>
      </c>
      <c r="BK25" s="111">
        <f t="shared" si="5"/>
        <v>0</v>
      </c>
      <c r="BL25" s="111">
        <f t="shared" si="5"/>
        <v>0</v>
      </c>
      <c r="BM25" s="111">
        <f t="shared" si="5"/>
        <v>0</v>
      </c>
      <c r="BN25" s="111">
        <f t="shared" si="5"/>
        <v>0</v>
      </c>
      <c r="BO25" s="111">
        <f t="shared" si="5"/>
        <v>0</v>
      </c>
    </row>
    <row r="27" spans="2:67" x14ac:dyDescent="0.4">
      <c r="B27" s="99" t="s">
        <v>127</v>
      </c>
      <c r="C27" s="109" t="e">
        <f>SUM(H27:BO27)</f>
        <v>#REF!</v>
      </c>
      <c r="H27" s="109">
        <f>-H74</f>
        <v>0</v>
      </c>
      <c r="I27" s="109" t="e">
        <f t="shared" ref="I27:BO27" si="6">-I74</f>
        <v>#REF!</v>
      </c>
      <c r="J27" s="109" t="e">
        <f t="shared" si="6"/>
        <v>#REF!</v>
      </c>
      <c r="K27" s="109" t="e">
        <f t="shared" si="6"/>
        <v>#REF!</v>
      </c>
      <c r="L27" s="109" t="e">
        <f t="shared" si="6"/>
        <v>#REF!</v>
      </c>
      <c r="M27" s="109" t="e">
        <f t="shared" si="6"/>
        <v>#REF!</v>
      </c>
      <c r="N27" s="109" t="e">
        <f t="shared" si="6"/>
        <v>#REF!</v>
      </c>
      <c r="O27" s="109" t="e">
        <f t="shared" si="6"/>
        <v>#REF!</v>
      </c>
      <c r="P27" s="109" t="e">
        <f t="shared" si="6"/>
        <v>#REF!</v>
      </c>
      <c r="Q27" s="109" t="e">
        <f t="shared" si="6"/>
        <v>#REF!</v>
      </c>
      <c r="R27" s="109" t="e">
        <f t="shared" si="6"/>
        <v>#REF!</v>
      </c>
      <c r="S27" s="109" t="e">
        <f t="shared" si="6"/>
        <v>#REF!</v>
      </c>
      <c r="T27" s="109" t="e">
        <f t="shared" si="6"/>
        <v>#REF!</v>
      </c>
      <c r="U27" s="109" t="e">
        <f t="shared" si="6"/>
        <v>#REF!</v>
      </c>
      <c r="V27" s="109" t="e">
        <f t="shared" si="6"/>
        <v>#REF!</v>
      </c>
      <c r="W27" s="109" t="e">
        <f t="shared" si="6"/>
        <v>#REF!</v>
      </c>
      <c r="X27" s="109" t="e">
        <f t="shared" si="6"/>
        <v>#REF!</v>
      </c>
      <c r="Y27" s="109" t="e">
        <f t="shared" si="6"/>
        <v>#REF!</v>
      </c>
      <c r="Z27" s="109" t="e">
        <f t="shared" si="6"/>
        <v>#REF!</v>
      </c>
      <c r="AA27" s="109" t="e">
        <f t="shared" si="6"/>
        <v>#REF!</v>
      </c>
      <c r="AB27" s="109" t="e">
        <f t="shared" si="6"/>
        <v>#REF!</v>
      </c>
      <c r="AC27" s="109" t="e">
        <f t="shared" si="6"/>
        <v>#REF!</v>
      </c>
      <c r="AD27" s="109" t="e">
        <f t="shared" si="6"/>
        <v>#REF!</v>
      </c>
      <c r="AE27" s="109" t="e">
        <f t="shared" si="6"/>
        <v>#REF!</v>
      </c>
      <c r="AF27" s="109" t="e">
        <f t="shared" si="6"/>
        <v>#REF!</v>
      </c>
      <c r="AG27" s="109" t="e">
        <f t="shared" si="6"/>
        <v>#REF!</v>
      </c>
      <c r="AH27" s="109" t="e">
        <f t="shared" si="6"/>
        <v>#REF!</v>
      </c>
      <c r="AI27" s="109" t="e">
        <f t="shared" si="6"/>
        <v>#REF!</v>
      </c>
      <c r="AJ27" s="109" t="e">
        <f t="shared" si="6"/>
        <v>#REF!</v>
      </c>
      <c r="AK27" s="109" t="e">
        <f t="shared" si="6"/>
        <v>#REF!</v>
      </c>
      <c r="AL27" s="109" t="e">
        <f t="shared" si="6"/>
        <v>#REF!</v>
      </c>
      <c r="AM27" s="109" t="e">
        <f t="shared" si="6"/>
        <v>#REF!</v>
      </c>
      <c r="AN27" s="109" t="e">
        <f t="shared" si="6"/>
        <v>#REF!</v>
      </c>
      <c r="AO27" s="109" t="e">
        <f t="shared" si="6"/>
        <v>#REF!</v>
      </c>
      <c r="AP27" s="109" t="e">
        <f t="shared" si="6"/>
        <v>#REF!</v>
      </c>
      <c r="AQ27" s="109" t="e">
        <f t="shared" si="6"/>
        <v>#REF!</v>
      </c>
      <c r="AR27" s="109" t="e">
        <f t="shared" si="6"/>
        <v>#REF!</v>
      </c>
      <c r="AS27" s="109" t="e">
        <f t="shared" si="6"/>
        <v>#REF!</v>
      </c>
      <c r="AT27" s="109" t="e">
        <f t="shared" si="6"/>
        <v>#REF!</v>
      </c>
      <c r="AU27" s="109" t="e">
        <f t="shared" si="6"/>
        <v>#REF!</v>
      </c>
      <c r="AV27" s="109" t="e">
        <f t="shared" si="6"/>
        <v>#REF!</v>
      </c>
      <c r="AW27" s="109" t="e">
        <f t="shared" si="6"/>
        <v>#REF!</v>
      </c>
      <c r="AX27" s="109" t="e">
        <f t="shared" si="6"/>
        <v>#REF!</v>
      </c>
      <c r="AY27" s="109" t="e">
        <f t="shared" si="6"/>
        <v>#REF!</v>
      </c>
      <c r="AZ27" s="109" t="e">
        <f t="shared" si="6"/>
        <v>#REF!</v>
      </c>
      <c r="BA27" s="109" t="e">
        <f t="shared" si="6"/>
        <v>#REF!</v>
      </c>
      <c r="BB27" s="109" t="e">
        <f t="shared" si="6"/>
        <v>#REF!</v>
      </c>
      <c r="BC27" s="109" t="e">
        <f t="shared" si="6"/>
        <v>#REF!</v>
      </c>
      <c r="BD27" s="109" t="e">
        <f t="shared" si="6"/>
        <v>#REF!</v>
      </c>
      <c r="BE27" s="109" t="e">
        <f t="shared" si="6"/>
        <v>#REF!</v>
      </c>
      <c r="BF27" s="109" t="e">
        <f t="shared" si="6"/>
        <v>#REF!</v>
      </c>
      <c r="BG27" s="109" t="e">
        <f t="shared" si="6"/>
        <v>#REF!</v>
      </c>
      <c r="BH27" s="109" t="e">
        <f t="shared" si="6"/>
        <v>#REF!</v>
      </c>
      <c r="BI27" s="109" t="e">
        <f t="shared" si="6"/>
        <v>#REF!</v>
      </c>
      <c r="BJ27" s="109" t="e">
        <f t="shared" si="6"/>
        <v>#REF!</v>
      </c>
      <c r="BK27" s="109" t="e">
        <f t="shared" si="6"/>
        <v>#REF!</v>
      </c>
      <c r="BL27" s="109" t="e">
        <f t="shared" si="6"/>
        <v>#REF!</v>
      </c>
      <c r="BM27" s="109" t="e">
        <f t="shared" si="6"/>
        <v>#REF!</v>
      </c>
      <c r="BN27" s="109" t="e">
        <f t="shared" si="6"/>
        <v>#REF!</v>
      </c>
      <c r="BO27" s="109" t="e">
        <f t="shared" si="6"/>
        <v>#REF!</v>
      </c>
    </row>
    <row r="28" spans="2:67" x14ac:dyDescent="0.4">
      <c r="B28" s="99" t="s">
        <v>128</v>
      </c>
      <c r="C28" s="109">
        <f>SUM(H28:BO28)</f>
        <v>0</v>
      </c>
      <c r="H28" s="109">
        <f>-IF(H$44=1,H72,0)</f>
        <v>0</v>
      </c>
      <c r="I28" s="109">
        <f t="shared" ref="I28:BO28" si="7">-IF(I$44=1,I72,0)</f>
        <v>0</v>
      </c>
      <c r="J28" s="109">
        <f t="shared" si="7"/>
        <v>0</v>
      </c>
      <c r="K28" s="109">
        <f t="shared" si="7"/>
        <v>0</v>
      </c>
      <c r="L28" s="109">
        <f t="shared" si="7"/>
        <v>0</v>
      </c>
      <c r="M28" s="109">
        <f t="shared" si="7"/>
        <v>0</v>
      </c>
      <c r="N28" s="109">
        <f t="shared" si="7"/>
        <v>0</v>
      </c>
      <c r="O28" s="109">
        <f t="shared" si="7"/>
        <v>0</v>
      </c>
      <c r="P28" s="109">
        <f t="shared" si="7"/>
        <v>0</v>
      </c>
      <c r="Q28" s="109">
        <f t="shared" si="7"/>
        <v>0</v>
      </c>
      <c r="R28" s="109">
        <f t="shared" si="7"/>
        <v>0</v>
      </c>
      <c r="S28" s="109">
        <f t="shared" si="7"/>
        <v>0</v>
      </c>
      <c r="T28" s="109">
        <f t="shared" si="7"/>
        <v>0</v>
      </c>
      <c r="U28" s="109">
        <f t="shared" si="7"/>
        <v>0</v>
      </c>
      <c r="V28" s="109">
        <f t="shared" si="7"/>
        <v>0</v>
      </c>
      <c r="W28" s="109">
        <f t="shared" si="7"/>
        <v>0</v>
      </c>
      <c r="X28" s="109">
        <f t="shared" si="7"/>
        <v>0</v>
      </c>
      <c r="Y28" s="109">
        <f t="shared" si="7"/>
        <v>0</v>
      </c>
      <c r="Z28" s="109">
        <f t="shared" si="7"/>
        <v>0</v>
      </c>
      <c r="AA28" s="109">
        <f t="shared" si="7"/>
        <v>0</v>
      </c>
      <c r="AB28" s="109">
        <f t="shared" si="7"/>
        <v>0</v>
      </c>
      <c r="AC28" s="109">
        <f t="shared" si="7"/>
        <v>0</v>
      </c>
      <c r="AD28" s="109">
        <f t="shared" si="7"/>
        <v>0</v>
      </c>
      <c r="AE28" s="109">
        <f t="shared" si="7"/>
        <v>0</v>
      </c>
      <c r="AF28" s="109">
        <f t="shared" si="7"/>
        <v>0</v>
      </c>
      <c r="AG28" s="109">
        <f t="shared" si="7"/>
        <v>0</v>
      </c>
      <c r="AH28" s="109">
        <f t="shared" si="7"/>
        <v>0</v>
      </c>
      <c r="AI28" s="109">
        <f t="shared" si="7"/>
        <v>0</v>
      </c>
      <c r="AJ28" s="109">
        <f t="shared" si="7"/>
        <v>0</v>
      </c>
      <c r="AK28" s="109">
        <f t="shared" si="7"/>
        <v>0</v>
      </c>
      <c r="AL28" s="109">
        <f t="shared" si="7"/>
        <v>0</v>
      </c>
      <c r="AM28" s="109">
        <f t="shared" si="7"/>
        <v>0</v>
      </c>
      <c r="AN28" s="109">
        <f t="shared" si="7"/>
        <v>0</v>
      </c>
      <c r="AO28" s="109">
        <f t="shared" si="7"/>
        <v>0</v>
      </c>
      <c r="AP28" s="109">
        <f t="shared" si="7"/>
        <v>0</v>
      </c>
      <c r="AQ28" s="109">
        <f t="shared" si="7"/>
        <v>0</v>
      </c>
      <c r="AR28" s="109">
        <f t="shared" si="7"/>
        <v>0</v>
      </c>
      <c r="AS28" s="109">
        <f t="shared" si="7"/>
        <v>0</v>
      </c>
      <c r="AT28" s="109">
        <f t="shared" si="7"/>
        <v>0</v>
      </c>
      <c r="AU28" s="109">
        <f t="shared" si="7"/>
        <v>0</v>
      </c>
      <c r="AV28" s="109">
        <f t="shared" si="7"/>
        <v>0</v>
      </c>
      <c r="AW28" s="109">
        <f t="shared" si="7"/>
        <v>0</v>
      </c>
      <c r="AX28" s="109">
        <f t="shared" si="7"/>
        <v>0</v>
      </c>
      <c r="AY28" s="109">
        <f t="shared" si="7"/>
        <v>0</v>
      </c>
      <c r="AZ28" s="109">
        <f t="shared" si="7"/>
        <v>0</v>
      </c>
      <c r="BA28" s="109">
        <f t="shared" si="7"/>
        <v>0</v>
      </c>
      <c r="BB28" s="109">
        <f t="shared" si="7"/>
        <v>0</v>
      </c>
      <c r="BC28" s="109">
        <f t="shared" si="7"/>
        <v>0</v>
      </c>
      <c r="BD28" s="109">
        <f t="shared" si="7"/>
        <v>0</v>
      </c>
      <c r="BE28" s="109">
        <f t="shared" si="7"/>
        <v>0</v>
      </c>
      <c r="BF28" s="109">
        <f t="shared" si="7"/>
        <v>0</v>
      </c>
      <c r="BG28" s="109">
        <f t="shared" si="7"/>
        <v>0</v>
      </c>
      <c r="BH28" s="109">
        <f t="shared" si="7"/>
        <v>0</v>
      </c>
      <c r="BI28" s="109">
        <f t="shared" si="7"/>
        <v>0</v>
      </c>
      <c r="BJ28" s="109">
        <f t="shared" si="7"/>
        <v>0</v>
      </c>
      <c r="BK28" s="109">
        <f t="shared" si="7"/>
        <v>0</v>
      </c>
      <c r="BL28" s="109">
        <f t="shared" si="7"/>
        <v>0</v>
      </c>
      <c r="BM28" s="109">
        <f t="shared" si="7"/>
        <v>0</v>
      </c>
      <c r="BN28" s="109">
        <f t="shared" si="7"/>
        <v>0</v>
      </c>
      <c r="BO28" s="109">
        <f t="shared" si="7"/>
        <v>0</v>
      </c>
    </row>
    <row r="30" spans="2:67" x14ac:dyDescent="0.4">
      <c r="B30" s="102" t="s">
        <v>129</v>
      </c>
      <c r="C30" s="112" t="e">
        <f>SUM(H30:BO30)</f>
        <v>#REF!</v>
      </c>
      <c r="H30" s="112">
        <f>H25+H27+H28</f>
        <v>0</v>
      </c>
      <c r="I30" s="112" t="e">
        <f t="shared" ref="I30:BO30" si="8">I25+I27+I28</f>
        <v>#REF!</v>
      </c>
      <c r="J30" s="112" t="e">
        <f t="shared" si="8"/>
        <v>#REF!</v>
      </c>
      <c r="K30" s="112" t="e">
        <f t="shared" si="8"/>
        <v>#REF!</v>
      </c>
      <c r="L30" s="112" t="e">
        <f t="shared" si="8"/>
        <v>#REF!</v>
      </c>
      <c r="M30" s="112" t="e">
        <f t="shared" si="8"/>
        <v>#REF!</v>
      </c>
      <c r="N30" s="112" t="e">
        <f t="shared" si="8"/>
        <v>#REF!</v>
      </c>
      <c r="O30" s="112" t="e">
        <f t="shared" si="8"/>
        <v>#REF!</v>
      </c>
      <c r="P30" s="112" t="e">
        <f t="shared" si="8"/>
        <v>#REF!</v>
      </c>
      <c r="Q30" s="112" t="e">
        <f t="shared" si="8"/>
        <v>#REF!</v>
      </c>
      <c r="R30" s="112" t="e">
        <f t="shared" si="8"/>
        <v>#REF!</v>
      </c>
      <c r="S30" s="112" t="e">
        <f t="shared" si="8"/>
        <v>#REF!</v>
      </c>
      <c r="T30" s="112" t="e">
        <f t="shared" si="8"/>
        <v>#REF!</v>
      </c>
      <c r="U30" s="112" t="e">
        <f t="shared" si="8"/>
        <v>#REF!</v>
      </c>
      <c r="V30" s="112" t="e">
        <f t="shared" si="8"/>
        <v>#REF!</v>
      </c>
      <c r="W30" s="112" t="e">
        <f t="shared" si="8"/>
        <v>#REF!</v>
      </c>
      <c r="X30" s="112" t="e">
        <f t="shared" si="8"/>
        <v>#REF!</v>
      </c>
      <c r="Y30" s="112" t="e">
        <f t="shared" si="8"/>
        <v>#REF!</v>
      </c>
      <c r="Z30" s="112" t="e">
        <f t="shared" si="8"/>
        <v>#REF!</v>
      </c>
      <c r="AA30" s="112" t="e">
        <f t="shared" si="8"/>
        <v>#REF!</v>
      </c>
      <c r="AB30" s="112" t="e">
        <f t="shared" si="8"/>
        <v>#REF!</v>
      </c>
      <c r="AC30" s="112" t="e">
        <f t="shared" si="8"/>
        <v>#REF!</v>
      </c>
      <c r="AD30" s="112" t="e">
        <f t="shared" si="8"/>
        <v>#REF!</v>
      </c>
      <c r="AE30" s="112" t="e">
        <f t="shared" si="8"/>
        <v>#REF!</v>
      </c>
      <c r="AF30" s="112" t="e">
        <f t="shared" si="8"/>
        <v>#REF!</v>
      </c>
      <c r="AG30" s="112" t="e">
        <f t="shared" si="8"/>
        <v>#REF!</v>
      </c>
      <c r="AH30" s="112" t="e">
        <f t="shared" si="8"/>
        <v>#REF!</v>
      </c>
      <c r="AI30" s="112" t="e">
        <f t="shared" si="8"/>
        <v>#REF!</v>
      </c>
      <c r="AJ30" s="112" t="e">
        <f t="shared" si="8"/>
        <v>#REF!</v>
      </c>
      <c r="AK30" s="112" t="e">
        <f t="shared" si="8"/>
        <v>#REF!</v>
      </c>
      <c r="AL30" s="112" t="e">
        <f t="shared" si="8"/>
        <v>#REF!</v>
      </c>
      <c r="AM30" s="112" t="e">
        <f t="shared" si="8"/>
        <v>#REF!</v>
      </c>
      <c r="AN30" s="112" t="e">
        <f t="shared" si="8"/>
        <v>#REF!</v>
      </c>
      <c r="AO30" s="112" t="e">
        <f t="shared" si="8"/>
        <v>#REF!</v>
      </c>
      <c r="AP30" s="112" t="e">
        <f t="shared" si="8"/>
        <v>#REF!</v>
      </c>
      <c r="AQ30" s="112" t="e">
        <f t="shared" si="8"/>
        <v>#REF!</v>
      </c>
      <c r="AR30" s="112" t="e">
        <f t="shared" si="8"/>
        <v>#REF!</v>
      </c>
      <c r="AS30" s="112" t="e">
        <f t="shared" si="8"/>
        <v>#REF!</v>
      </c>
      <c r="AT30" s="112" t="e">
        <f t="shared" si="8"/>
        <v>#REF!</v>
      </c>
      <c r="AU30" s="112" t="e">
        <f t="shared" si="8"/>
        <v>#REF!</v>
      </c>
      <c r="AV30" s="112" t="e">
        <f t="shared" si="8"/>
        <v>#REF!</v>
      </c>
      <c r="AW30" s="112" t="e">
        <f t="shared" si="8"/>
        <v>#REF!</v>
      </c>
      <c r="AX30" s="112" t="e">
        <f t="shared" si="8"/>
        <v>#REF!</v>
      </c>
      <c r="AY30" s="112" t="e">
        <f t="shared" si="8"/>
        <v>#REF!</v>
      </c>
      <c r="AZ30" s="112" t="e">
        <f t="shared" si="8"/>
        <v>#REF!</v>
      </c>
      <c r="BA30" s="112" t="e">
        <f t="shared" si="8"/>
        <v>#REF!</v>
      </c>
      <c r="BB30" s="112" t="e">
        <f t="shared" si="8"/>
        <v>#REF!</v>
      </c>
      <c r="BC30" s="112" t="e">
        <f t="shared" si="8"/>
        <v>#REF!</v>
      </c>
      <c r="BD30" s="112" t="e">
        <f t="shared" si="8"/>
        <v>#REF!</v>
      </c>
      <c r="BE30" s="112" t="e">
        <f t="shared" si="8"/>
        <v>#REF!</v>
      </c>
      <c r="BF30" s="112" t="e">
        <f t="shared" si="8"/>
        <v>#REF!</v>
      </c>
      <c r="BG30" s="112" t="e">
        <f t="shared" si="8"/>
        <v>#REF!</v>
      </c>
      <c r="BH30" s="112" t="e">
        <f t="shared" si="8"/>
        <v>#REF!</v>
      </c>
      <c r="BI30" s="112" t="e">
        <f t="shared" si="8"/>
        <v>#REF!</v>
      </c>
      <c r="BJ30" s="112" t="e">
        <f t="shared" si="8"/>
        <v>#REF!</v>
      </c>
      <c r="BK30" s="112" t="e">
        <f t="shared" si="8"/>
        <v>#REF!</v>
      </c>
      <c r="BL30" s="112" t="e">
        <f t="shared" si="8"/>
        <v>#REF!</v>
      </c>
      <c r="BM30" s="112" t="e">
        <f t="shared" si="8"/>
        <v>#REF!</v>
      </c>
      <c r="BN30" s="112" t="e">
        <f t="shared" si="8"/>
        <v>#REF!</v>
      </c>
      <c r="BO30" s="112" t="e">
        <f t="shared" si="8"/>
        <v>#REF!</v>
      </c>
    </row>
    <row r="32" spans="2:67" x14ac:dyDescent="0.4">
      <c r="B32" s="96" t="s">
        <v>130</v>
      </c>
      <c r="C32" s="96"/>
    </row>
    <row r="33" spans="1:67" x14ac:dyDescent="0.4">
      <c r="B33" s="103" t="s">
        <v>131</v>
      </c>
      <c r="C33" s="104"/>
    </row>
    <row r="34" spans="1:67" x14ac:dyDescent="0.4">
      <c r="B34" s="98" t="s">
        <v>132</v>
      </c>
      <c r="C34" s="108">
        <f>SUM(H34:BO34)</f>
        <v>0</v>
      </c>
      <c r="H34" s="108">
        <f>H55</f>
        <v>0</v>
      </c>
      <c r="I34" s="108">
        <f t="shared" ref="I34:BO34" si="9">I55</f>
        <v>0</v>
      </c>
      <c r="J34" s="108">
        <f t="shared" si="9"/>
        <v>0</v>
      </c>
      <c r="K34" s="108">
        <f t="shared" si="9"/>
        <v>0</v>
      </c>
      <c r="L34" s="108">
        <f t="shared" si="9"/>
        <v>0</v>
      </c>
      <c r="M34" s="108">
        <f t="shared" si="9"/>
        <v>0</v>
      </c>
      <c r="N34" s="108">
        <f t="shared" si="9"/>
        <v>0</v>
      </c>
      <c r="O34" s="108">
        <f t="shared" si="9"/>
        <v>0</v>
      </c>
      <c r="P34" s="108">
        <f t="shared" si="9"/>
        <v>0</v>
      </c>
      <c r="Q34" s="108">
        <f t="shared" si="9"/>
        <v>0</v>
      </c>
      <c r="R34" s="108">
        <f t="shared" si="9"/>
        <v>0</v>
      </c>
      <c r="S34" s="108">
        <f t="shared" si="9"/>
        <v>0</v>
      </c>
      <c r="T34" s="108">
        <f t="shared" si="9"/>
        <v>0</v>
      </c>
      <c r="U34" s="108">
        <f t="shared" si="9"/>
        <v>0</v>
      </c>
      <c r="V34" s="108">
        <f t="shared" si="9"/>
        <v>0</v>
      </c>
      <c r="W34" s="108">
        <f t="shared" si="9"/>
        <v>0</v>
      </c>
      <c r="X34" s="108">
        <f t="shared" si="9"/>
        <v>0</v>
      </c>
      <c r="Y34" s="108">
        <f t="shared" si="9"/>
        <v>0</v>
      </c>
      <c r="Z34" s="108">
        <f t="shared" si="9"/>
        <v>0</v>
      </c>
      <c r="AA34" s="108">
        <f t="shared" si="9"/>
        <v>0</v>
      </c>
      <c r="AB34" s="108">
        <f t="shared" si="9"/>
        <v>0</v>
      </c>
      <c r="AC34" s="108">
        <f t="shared" si="9"/>
        <v>0</v>
      </c>
      <c r="AD34" s="108">
        <f t="shared" si="9"/>
        <v>0</v>
      </c>
      <c r="AE34" s="108">
        <f t="shared" si="9"/>
        <v>0</v>
      </c>
      <c r="AF34" s="108">
        <f t="shared" si="9"/>
        <v>0</v>
      </c>
      <c r="AG34" s="108">
        <f t="shared" si="9"/>
        <v>0</v>
      </c>
      <c r="AH34" s="108">
        <f t="shared" si="9"/>
        <v>0</v>
      </c>
      <c r="AI34" s="108">
        <f t="shared" si="9"/>
        <v>0</v>
      </c>
      <c r="AJ34" s="108">
        <f t="shared" si="9"/>
        <v>0</v>
      </c>
      <c r="AK34" s="108">
        <f t="shared" si="9"/>
        <v>0</v>
      </c>
      <c r="AL34" s="108">
        <f t="shared" si="9"/>
        <v>0</v>
      </c>
      <c r="AM34" s="108">
        <f t="shared" si="9"/>
        <v>0</v>
      </c>
      <c r="AN34" s="108">
        <f t="shared" si="9"/>
        <v>0</v>
      </c>
      <c r="AO34" s="108">
        <f t="shared" si="9"/>
        <v>0</v>
      </c>
      <c r="AP34" s="108">
        <f t="shared" si="9"/>
        <v>0</v>
      </c>
      <c r="AQ34" s="108">
        <f t="shared" si="9"/>
        <v>0</v>
      </c>
      <c r="AR34" s="108">
        <f t="shared" si="9"/>
        <v>0</v>
      </c>
      <c r="AS34" s="108">
        <f t="shared" si="9"/>
        <v>0</v>
      </c>
      <c r="AT34" s="108">
        <f t="shared" si="9"/>
        <v>0</v>
      </c>
      <c r="AU34" s="108">
        <f t="shared" si="9"/>
        <v>0</v>
      </c>
      <c r="AV34" s="108">
        <f t="shared" si="9"/>
        <v>0</v>
      </c>
      <c r="AW34" s="108">
        <f t="shared" si="9"/>
        <v>0</v>
      </c>
      <c r="AX34" s="108">
        <f t="shared" si="9"/>
        <v>0</v>
      </c>
      <c r="AY34" s="108">
        <f t="shared" si="9"/>
        <v>0</v>
      </c>
      <c r="AZ34" s="108">
        <f t="shared" si="9"/>
        <v>0</v>
      </c>
      <c r="BA34" s="108">
        <f t="shared" si="9"/>
        <v>0</v>
      </c>
      <c r="BB34" s="108">
        <f t="shared" si="9"/>
        <v>0</v>
      </c>
      <c r="BC34" s="108">
        <f t="shared" si="9"/>
        <v>0</v>
      </c>
      <c r="BD34" s="108">
        <f t="shared" si="9"/>
        <v>0</v>
      </c>
      <c r="BE34" s="108">
        <f t="shared" si="9"/>
        <v>0</v>
      </c>
      <c r="BF34" s="108">
        <f t="shared" si="9"/>
        <v>0</v>
      </c>
      <c r="BG34" s="108">
        <f t="shared" si="9"/>
        <v>0</v>
      </c>
      <c r="BH34" s="108">
        <f t="shared" si="9"/>
        <v>0</v>
      </c>
      <c r="BI34" s="108">
        <f t="shared" si="9"/>
        <v>0</v>
      </c>
      <c r="BJ34" s="108">
        <f t="shared" si="9"/>
        <v>0</v>
      </c>
      <c r="BK34" s="108">
        <f t="shared" si="9"/>
        <v>0</v>
      </c>
      <c r="BL34" s="108">
        <f t="shared" si="9"/>
        <v>0</v>
      </c>
      <c r="BM34" s="108">
        <f t="shared" si="9"/>
        <v>0</v>
      </c>
      <c r="BN34" s="108">
        <f t="shared" si="9"/>
        <v>0</v>
      </c>
      <c r="BO34" s="108">
        <f t="shared" si="9"/>
        <v>0</v>
      </c>
    </row>
    <row r="35" spans="1:67" x14ac:dyDescent="0.4">
      <c r="B35" s="105" t="s">
        <v>133</v>
      </c>
      <c r="C35" s="113">
        <f>SUM(H35:BO35)</f>
        <v>0</v>
      </c>
      <c r="H35" s="113">
        <f>IF(AND(H$44&gt;Inputs!$D$65+Inputs!$D$67,H$44&lt;=Inputs!$D$65+Inputs!$D$67+1,Inputs!$D$66&gt;Inputs!$D$67),Inputs!$C$18*Inputs!$D$74,0)</f>
        <v>0</v>
      </c>
      <c r="I35" s="113">
        <f>IF(AND(I$44&gt;Inputs!$D$65+Inputs!$D$67,I$44&lt;=Inputs!$D$65+Inputs!$D$67+1,Inputs!$D$66&gt;Inputs!$D$67),Inputs!$C$18*Inputs!$D$74,0)</f>
        <v>0</v>
      </c>
      <c r="J35" s="113">
        <f>IF(AND(J$44&gt;Inputs!$D$65+Inputs!$D$67,J$44&lt;=Inputs!$D$65+Inputs!$D$67+1,Inputs!$D$66&gt;Inputs!$D$67),Inputs!$C$18*Inputs!$D$74,0)</f>
        <v>0</v>
      </c>
      <c r="K35" s="113">
        <f>IF(AND(K$44&gt;Inputs!$D$65+Inputs!$D$67,K$44&lt;=Inputs!$D$65+Inputs!$D$67+1,Inputs!$D$66&gt;Inputs!$D$67),Inputs!$C$18*Inputs!$D$74,0)</f>
        <v>0</v>
      </c>
      <c r="L35" s="113">
        <f>IF(AND(L$44&gt;Inputs!$D$65+Inputs!$D$67,L$44&lt;=Inputs!$D$65+Inputs!$D$67+1,Inputs!$D$66&gt;Inputs!$D$67),Inputs!$C$18*Inputs!$D$74,0)</f>
        <v>0</v>
      </c>
      <c r="M35" s="113">
        <f>IF(AND(M$44&gt;Inputs!$D$65+Inputs!$D$67,M$44&lt;=Inputs!$D$65+Inputs!$D$67+1,Inputs!$D$66&gt;Inputs!$D$67),Inputs!$C$18*Inputs!$D$74,0)</f>
        <v>0</v>
      </c>
      <c r="N35" s="113">
        <f>IF(AND(N$44&gt;Inputs!$D$65+Inputs!$D$67,N$44&lt;=Inputs!$D$65+Inputs!$D$67+1,Inputs!$D$66&gt;Inputs!$D$67),Inputs!$C$18*Inputs!$D$74,0)</f>
        <v>0</v>
      </c>
      <c r="O35" s="113">
        <f>IF(AND(O$44&gt;Inputs!$D$65+Inputs!$D$67,O$44&lt;=Inputs!$D$65+Inputs!$D$67+1,Inputs!$D$66&gt;Inputs!$D$67),Inputs!$C$18*Inputs!$D$74,0)</f>
        <v>0</v>
      </c>
      <c r="P35" s="113">
        <f>IF(AND(P$44&gt;Inputs!$D$65+Inputs!$D$67,P$44&lt;=Inputs!$D$65+Inputs!$D$67+1,Inputs!$D$66&gt;Inputs!$D$67),Inputs!$C$18*Inputs!$D$74,0)</f>
        <v>0</v>
      </c>
      <c r="Q35" s="113">
        <f>IF(AND(Q$44&gt;Inputs!$D$65+Inputs!$D$67,Q$44&lt;=Inputs!$D$65+Inputs!$D$67+1,Inputs!$D$66&gt;Inputs!$D$67),Inputs!$C$18*Inputs!$D$74,0)</f>
        <v>0</v>
      </c>
      <c r="R35" s="113">
        <f>IF(AND(R$44&gt;Inputs!$D$65+Inputs!$D$67,R$44&lt;=Inputs!$D$65+Inputs!$D$67+1,Inputs!$D$66&gt;Inputs!$D$67),Inputs!$C$18*Inputs!$D$74,0)</f>
        <v>0</v>
      </c>
      <c r="S35" s="113">
        <f>IF(AND(S$44&gt;Inputs!$D$65+Inputs!$D$67,S$44&lt;=Inputs!$D$65+Inputs!$D$67+1,Inputs!$D$66&gt;Inputs!$D$67),Inputs!$C$18*Inputs!$D$74,0)</f>
        <v>0</v>
      </c>
      <c r="T35" s="113">
        <f>IF(AND(T$44&gt;Inputs!$D$65+Inputs!$D$67,T$44&lt;=Inputs!$D$65+Inputs!$D$67+1,Inputs!$D$66&gt;Inputs!$D$67),Inputs!$C$18*Inputs!$D$74,0)</f>
        <v>0</v>
      </c>
      <c r="U35" s="113">
        <f>IF(AND(U$44&gt;Inputs!$D$65+Inputs!$D$67,U$44&lt;=Inputs!$D$65+Inputs!$D$67+1,Inputs!$D$66&gt;Inputs!$D$67),Inputs!$C$18*Inputs!$D$74,0)</f>
        <v>0</v>
      </c>
      <c r="V35" s="113">
        <f>IF(AND(V$44&gt;Inputs!$D$65+Inputs!$D$67,V$44&lt;=Inputs!$D$65+Inputs!$D$67+1,Inputs!$D$66&gt;Inputs!$D$67),Inputs!$C$18*Inputs!$D$74,0)</f>
        <v>0</v>
      </c>
      <c r="W35" s="113">
        <f>IF(AND(W$44&gt;Inputs!$D$65+Inputs!$D$67,W$44&lt;=Inputs!$D$65+Inputs!$D$67+1,Inputs!$D$66&gt;Inputs!$D$67),Inputs!$C$18*Inputs!$D$74,0)</f>
        <v>0</v>
      </c>
      <c r="X35" s="113">
        <f>IF(AND(X$44&gt;Inputs!$D$65+Inputs!$D$67,X$44&lt;=Inputs!$D$65+Inputs!$D$67+1,Inputs!$D$66&gt;Inputs!$D$67),Inputs!$C$18*Inputs!$D$74,0)</f>
        <v>0</v>
      </c>
      <c r="Y35" s="113">
        <f>IF(AND(Y$44&gt;Inputs!$D$65+Inputs!$D$67,Y$44&lt;=Inputs!$D$65+Inputs!$D$67+1,Inputs!$D$66&gt;Inputs!$D$67),Inputs!$C$18*Inputs!$D$74,0)</f>
        <v>0</v>
      </c>
      <c r="Z35" s="113">
        <f>IF(AND(Z$44&gt;Inputs!$D$65+Inputs!$D$67,Z$44&lt;=Inputs!$D$65+Inputs!$D$67+1,Inputs!$D$66&gt;Inputs!$D$67),Inputs!$C$18*Inputs!$D$74,0)</f>
        <v>0</v>
      </c>
      <c r="AA35" s="113">
        <f>IF(AND(AA$44&gt;Inputs!$D$65+Inputs!$D$67,AA$44&lt;=Inputs!$D$65+Inputs!$D$67+1,Inputs!$D$66&gt;Inputs!$D$67),Inputs!$C$18*Inputs!$D$74,0)</f>
        <v>0</v>
      </c>
      <c r="AB35" s="113">
        <f>IF(AND(AB$44&gt;Inputs!$D$65+Inputs!$D$67,AB$44&lt;=Inputs!$D$65+Inputs!$D$67+1,Inputs!$D$66&gt;Inputs!$D$67),Inputs!$C$18*Inputs!$D$74,0)</f>
        <v>0</v>
      </c>
      <c r="AC35" s="113">
        <f>IF(AND(AC$44&gt;Inputs!$D$65+Inputs!$D$67,AC$44&lt;=Inputs!$D$65+Inputs!$D$67+1,Inputs!$D$66&gt;Inputs!$D$67),Inputs!$C$18*Inputs!$D$74,0)</f>
        <v>0</v>
      </c>
      <c r="AD35" s="113">
        <f>IF(AND(AD$44&gt;Inputs!$D$65+Inputs!$D$67,AD$44&lt;=Inputs!$D$65+Inputs!$D$67+1,Inputs!$D$66&gt;Inputs!$D$67),Inputs!$C$18*Inputs!$D$74,0)</f>
        <v>0</v>
      </c>
      <c r="AE35" s="113">
        <f>IF(AND(AE$44&gt;Inputs!$D$65+Inputs!$D$67,AE$44&lt;=Inputs!$D$65+Inputs!$D$67+1,Inputs!$D$66&gt;Inputs!$D$67),Inputs!$C$18*Inputs!$D$74,0)</f>
        <v>0</v>
      </c>
      <c r="AF35" s="113">
        <f>IF(AND(AF$44&gt;Inputs!$D$65+Inputs!$D$67,AF$44&lt;=Inputs!$D$65+Inputs!$D$67+1,Inputs!$D$66&gt;Inputs!$D$67),Inputs!$C$18*Inputs!$D$74,0)</f>
        <v>0</v>
      </c>
      <c r="AG35" s="113">
        <f>IF(AND(AG$44&gt;Inputs!$D$65+Inputs!$D$67,AG$44&lt;=Inputs!$D$65+Inputs!$D$67+1,Inputs!$D$66&gt;Inputs!$D$67),Inputs!$C$18*Inputs!$D$74,0)</f>
        <v>0</v>
      </c>
      <c r="AH35" s="113">
        <f>IF(AND(AH$44&gt;Inputs!$D$65+Inputs!$D$67,AH$44&lt;=Inputs!$D$65+Inputs!$D$67+1,Inputs!$D$66&gt;Inputs!$D$67),Inputs!$C$18*Inputs!$D$74,0)</f>
        <v>0</v>
      </c>
      <c r="AI35" s="113">
        <f>IF(AND(AI$44&gt;Inputs!$D$65+Inputs!$D$67,AI$44&lt;=Inputs!$D$65+Inputs!$D$67+1,Inputs!$D$66&gt;Inputs!$D$67),Inputs!$C$18*Inputs!$D$74,0)</f>
        <v>0</v>
      </c>
      <c r="AJ35" s="113">
        <f>IF(AND(AJ$44&gt;Inputs!$D$65+Inputs!$D$67,AJ$44&lt;=Inputs!$D$65+Inputs!$D$67+1,Inputs!$D$66&gt;Inputs!$D$67),Inputs!$C$18*Inputs!$D$74,0)</f>
        <v>0</v>
      </c>
      <c r="AK35" s="113">
        <f>IF(AND(AK$44&gt;Inputs!$D$65+Inputs!$D$67,AK$44&lt;=Inputs!$D$65+Inputs!$D$67+1,Inputs!$D$66&gt;Inputs!$D$67),Inputs!$C$18*Inputs!$D$74,0)</f>
        <v>0</v>
      </c>
      <c r="AL35" s="113">
        <f>IF(AND(AL$44&gt;Inputs!$D$65+Inputs!$D$67,AL$44&lt;=Inputs!$D$65+Inputs!$D$67+1,Inputs!$D$66&gt;Inputs!$D$67),Inputs!$C$18*Inputs!$D$74,0)</f>
        <v>0</v>
      </c>
      <c r="AM35" s="113">
        <f>IF(AND(AM$44&gt;Inputs!$D$65+Inputs!$D$67,AM$44&lt;=Inputs!$D$65+Inputs!$D$67+1,Inputs!$D$66&gt;Inputs!$D$67),Inputs!$C$18*Inputs!$D$74,0)</f>
        <v>0</v>
      </c>
      <c r="AN35" s="113">
        <f>IF(AND(AN$44&gt;Inputs!$D$65+Inputs!$D$67,AN$44&lt;=Inputs!$D$65+Inputs!$D$67+1,Inputs!$D$66&gt;Inputs!$D$67),Inputs!$C$18*Inputs!$D$74,0)</f>
        <v>0</v>
      </c>
      <c r="AO35" s="113">
        <f>IF(AND(AO$44&gt;Inputs!$D$65+Inputs!$D$67,AO$44&lt;=Inputs!$D$65+Inputs!$D$67+1,Inputs!$D$66&gt;Inputs!$D$67),Inputs!$C$18*Inputs!$D$74,0)</f>
        <v>0</v>
      </c>
      <c r="AP35" s="113">
        <f>IF(AND(AP$44&gt;Inputs!$D$65+Inputs!$D$67,AP$44&lt;=Inputs!$D$65+Inputs!$D$67+1,Inputs!$D$66&gt;Inputs!$D$67),Inputs!$C$18*Inputs!$D$74,0)</f>
        <v>0</v>
      </c>
      <c r="AQ35" s="113">
        <f>IF(AND(AQ$44&gt;Inputs!$D$65+Inputs!$D$67,AQ$44&lt;=Inputs!$D$65+Inputs!$D$67+1,Inputs!$D$66&gt;Inputs!$D$67),Inputs!$C$18*Inputs!$D$74,0)</f>
        <v>0</v>
      </c>
      <c r="AR35" s="113">
        <f>IF(AND(AR$44&gt;Inputs!$D$65+Inputs!$D$67,AR$44&lt;=Inputs!$D$65+Inputs!$D$67+1,Inputs!$D$66&gt;Inputs!$D$67),Inputs!$C$18*Inputs!$D$74,0)</f>
        <v>0</v>
      </c>
      <c r="AS35" s="113">
        <f>IF(AND(AS$44&gt;Inputs!$D$65+Inputs!$D$67,AS$44&lt;=Inputs!$D$65+Inputs!$D$67+1,Inputs!$D$66&gt;Inputs!$D$67),Inputs!$C$18*Inputs!$D$74,0)</f>
        <v>0</v>
      </c>
      <c r="AT35" s="113">
        <f>IF(AND(AT$44&gt;Inputs!$D$65+Inputs!$D$67,AT$44&lt;=Inputs!$D$65+Inputs!$D$67+1,Inputs!$D$66&gt;Inputs!$D$67),Inputs!$C$18*Inputs!$D$74,0)</f>
        <v>0</v>
      </c>
      <c r="AU35" s="113">
        <f>IF(AND(AU$44&gt;Inputs!$D$65+Inputs!$D$67,AU$44&lt;=Inputs!$D$65+Inputs!$D$67+1,Inputs!$D$66&gt;Inputs!$D$67),Inputs!$C$18*Inputs!$D$74,0)</f>
        <v>0</v>
      </c>
      <c r="AV35" s="113">
        <f>IF(AND(AV$44&gt;Inputs!$D$65+Inputs!$D$67,AV$44&lt;=Inputs!$D$65+Inputs!$D$67+1,Inputs!$D$66&gt;Inputs!$D$67),Inputs!$C$18*Inputs!$D$74,0)</f>
        <v>0</v>
      </c>
      <c r="AW35" s="113">
        <f>IF(AND(AW$44&gt;Inputs!$D$65+Inputs!$D$67,AW$44&lt;=Inputs!$D$65+Inputs!$D$67+1,Inputs!$D$66&gt;Inputs!$D$67),Inputs!$C$18*Inputs!$D$74,0)</f>
        <v>0</v>
      </c>
      <c r="AX35" s="113">
        <f>IF(AND(AX$44&gt;Inputs!$D$65+Inputs!$D$67,AX$44&lt;=Inputs!$D$65+Inputs!$D$67+1,Inputs!$D$66&gt;Inputs!$D$67),Inputs!$C$18*Inputs!$D$74,0)</f>
        <v>0</v>
      </c>
      <c r="AY35" s="113">
        <f>IF(AND(AY$44&gt;Inputs!$D$65+Inputs!$D$67,AY$44&lt;=Inputs!$D$65+Inputs!$D$67+1,Inputs!$D$66&gt;Inputs!$D$67),Inputs!$C$18*Inputs!$D$74,0)</f>
        <v>0</v>
      </c>
      <c r="AZ35" s="113">
        <f>IF(AND(AZ$44&gt;Inputs!$D$65+Inputs!$D$67,AZ$44&lt;=Inputs!$D$65+Inputs!$D$67+1,Inputs!$D$66&gt;Inputs!$D$67),Inputs!$C$18*Inputs!$D$74,0)</f>
        <v>0</v>
      </c>
      <c r="BA35" s="113">
        <f>IF(AND(BA$44&gt;Inputs!$D$65+Inputs!$D$67,BA$44&lt;=Inputs!$D$65+Inputs!$D$67+1,Inputs!$D$66&gt;Inputs!$D$67),Inputs!$C$18*Inputs!$D$74,0)</f>
        <v>0</v>
      </c>
      <c r="BB35" s="113">
        <f>IF(AND(BB$44&gt;Inputs!$D$65+Inputs!$D$67,BB$44&lt;=Inputs!$D$65+Inputs!$D$67+1,Inputs!$D$66&gt;Inputs!$D$67),Inputs!$C$18*Inputs!$D$74,0)</f>
        <v>0</v>
      </c>
      <c r="BC35" s="113">
        <f>IF(AND(BC$44&gt;Inputs!$D$65+Inputs!$D$67,BC$44&lt;=Inputs!$D$65+Inputs!$D$67+1,Inputs!$D$66&gt;Inputs!$D$67),Inputs!$C$18*Inputs!$D$74,0)</f>
        <v>0</v>
      </c>
      <c r="BD35" s="113">
        <f>IF(AND(BD$44&gt;Inputs!$D$65+Inputs!$D$67,BD$44&lt;=Inputs!$D$65+Inputs!$D$67+1,Inputs!$D$66&gt;Inputs!$D$67),Inputs!$C$18*Inputs!$D$74,0)</f>
        <v>0</v>
      </c>
      <c r="BE35" s="113">
        <f>IF(AND(BE$44&gt;Inputs!$D$65+Inputs!$D$67,BE$44&lt;=Inputs!$D$65+Inputs!$D$67+1,Inputs!$D$66&gt;Inputs!$D$67),Inputs!$C$18*Inputs!$D$74,0)</f>
        <v>0</v>
      </c>
      <c r="BF35" s="113">
        <f>IF(AND(BF$44&gt;Inputs!$D$65+Inputs!$D$67,BF$44&lt;=Inputs!$D$65+Inputs!$D$67+1,Inputs!$D$66&gt;Inputs!$D$67),Inputs!$C$18*Inputs!$D$74,0)</f>
        <v>0</v>
      </c>
      <c r="BG35" s="113">
        <f>IF(AND(BG$44&gt;Inputs!$D$65+Inputs!$D$67,BG$44&lt;=Inputs!$D$65+Inputs!$D$67+1,Inputs!$D$66&gt;Inputs!$D$67),Inputs!$C$18*Inputs!$D$74,0)</f>
        <v>0</v>
      </c>
      <c r="BH35" s="113">
        <f>IF(AND(BH$44&gt;Inputs!$D$65+Inputs!$D$67,BH$44&lt;=Inputs!$D$65+Inputs!$D$67+1,Inputs!$D$66&gt;Inputs!$D$67),Inputs!$C$18*Inputs!$D$74,0)</f>
        <v>0</v>
      </c>
      <c r="BI35" s="113">
        <f>IF(AND(BI$44&gt;Inputs!$D$65+Inputs!$D$67,BI$44&lt;=Inputs!$D$65+Inputs!$D$67+1,Inputs!$D$66&gt;Inputs!$D$67),Inputs!$C$18*Inputs!$D$74,0)</f>
        <v>0</v>
      </c>
      <c r="BJ35" s="113">
        <f>IF(AND(BJ$44&gt;Inputs!$D$65+Inputs!$D$67,BJ$44&lt;=Inputs!$D$65+Inputs!$D$67+1,Inputs!$D$66&gt;Inputs!$D$67),Inputs!$C$18*Inputs!$D$74,0)</f>
        <v>0</v>
      </c>
      <c r="BK35" s="113">
        <f>IF(AND(BK$44&gt;Inputs!$D$65+Inputs!$D$67,BK$44&lt;=Inputs!$D$65+Inputs!$D$67+1,Inputs!$D$66&gt;Inputs!$D$67),Inputs!$C$18*Inputs!$D$74,0)</f>
        <v>0</v>
      </c>
      <c r="BL35" s="113">
        <f>IF(AND(BL$44&gt;Inputs!$D$65+Inputs!$D$67,BL$44&lt;=Inputs!$D$65+Inputs!$D$67+1,Inputs!$D$66&gt;Inputs!$D$67),Inputs!$C$18*Inputs!$D$74,0)</f>
        <v>0</v>
      </c>
      <c r="BM35" s="113">
        <f>IF(AND(BM$44&gt;Inputs!$D$65+Inputs!$D$67,BM$44&lt;=Inputs!$D$65+Inputs!$D$67+1,Inputs!$D$66&gt;Inputs!$D$67),Inputs!$C$18*Inputs!$D$74,0)</f>
        <v>0</v>
      </c>
      <c r="BN35" s="113">
        <f>IF(AND(BN$44&gt;Inputs!$D$65+Inputs!$D$67,BN$44&lt;=Inputs!$D$65+Inputs!$D$67+1,Inputs!$D$66&gt;Inputs!$D$67),Inputs!$C$18*Inputs!$D$74,0)</f>
        <v>0</v>
      </c>
      <c r="BO35" s="113">
        <f>IF(AND(BO$44&gt;Inputs!$D$65+Inputs!$D$67,BO$44&lt;=Inputs!$D$65+Inputs!$D$67+1,Inputs!$D$66&gt;Inputs!$D$67),Inputs!$C$18*Inputs!$D$74,0)</f>
        <v>0</v>
      </c>
    </row>
    <row r="36" spans="1:67" x14ac:dyDescent="0.4">
      <c r="B36" s="105" t="s">
        <v>134</v>
      </c>
      <c r="C36" s="113">
        <f>SUM(H36:BO36)</f>
        <v>0</v>
      </c>
      <c r="H36" s="113">
        <f>IF(AND(H$44&gt;Inputs!$D$65+Inputs!$D$67,H$44&lt;=Inputs!$D$65+Inputs!$D$66,Inputs!$D$66&gt;Inputs!$D$67),Inputs!$C$18*Inputs!$D$75/MAX(Inputs!$D$66-Inputs!$D$67,1),0)</f>
        <v>0</v>
      </c>
      <c r="I36" s="113">
        <f>IF(AND(I$44&gt;Inputs!$D$65+Inputs!$D$67,I$44&lt;=Inputs!$D$65+Inputs!$D$66,Inputs!$D$66&gt;Inputs!$D$67),Inputs!$C$18*Inputs!$D$75/MAX(Inputs!$D$66-Inputs!$D$67,1),0)</f>
        <v>0</v>
      </c>
      <c r="J36" s="113">
        <f>IF(AND(J$44&gt;Inputs!$D$65+Inputs!$D$67,J$44&lt;=Inputs!$D$65+Inputs!$D$66,Inputs!$D$66&gt;Inputs!$D$67),Inputs!$C$18*Inputs!$D$75/MAX(Inputs!$D$66-Inputs!$D$67,1),0)</f>
        <v>0</v>
      </c>
      <c r="K36" s="113">
        <f>IF(AND(K$44&gt;Inputs!$D$65+Inputs!$D$67,K$44&lt;=Inputs!$D$65+Inputs!$D$66,Inputs!$D$66&gt;Inputs!$D$67),Inputs!$C$18*Inputs!$D$75/MAX(Inputs!$D$66-Inputs!$D$67,1),0)</f>
        <v>0</v>
      </c>
      <c r="L36" s="113">
        <f>IF(AND(L$44&gt;Inputs!$D$65+Inputs!$D$67,L$44&lt;=Inputs!$D$65+Inputs!$D$66,Inputs!$D$66&gt;Inputs!$D$67),Inputs!$C$18*Inputs!$D$75/MAX(Inputs!$D$66-Inputs!$D$67,1),0)</f>
        <v>0</v>
      </c>
      <c r="M36" s="113">
        <f>IF(AND(M$44&gt;Inputs!$D$65+Inputs!$D$67,M$44&lt;=Inputs!$D$65+Inputs!$D$66,Inputs!$D$66&gt;Inputs!$D$67),Inputs!$C$18*Inputs!$D$75/MAX(Inputs!$D$66-Inputs!$D$67,1),0)</f>
        <v>0</v>
      </c>
      <c r="N36" s="113">
        <f>IF(AND(N$44&gt;Inputs!$D$65+Inputs!$D$67,N$44&lt;=Inputs!$D$65+Inputs!$D$66,Inputs!$D$66&gt;Inputs!$D$67),Inputs!$C$18*Inputs!$D$75/MAX(Inputs!$D$66-Inputs!$D$67,1),0)</f>
        <v>0</v>
      </c>
      <c r="O36" s="113">
        <f>IF(AND(O$44&gt;Inputs!$D$65+Inputs!$D$67,O$44&lt;=Inputs!$D$65+Inputs!$D$66,Inputs!$D$66&gt;Inputs!$D$67),Inputs!$C$18*Inputs!$D$75/MAX(Inputs!$D$66-Inputs!$D$67,1),0)</f>
        <v>0</v>
      </c>
      <c r="P36" s="113">
        <f>IF(AND(P$44&gt;Inputs!$D$65+Inputs!$D$67,P$44&lt;=Inputs!$D$65+Inputs!$D$66,Inputs!$D$66&gt;Inputs!$D$67),Inputs!$C$18*Inputs!$D$75/MAX(Inputs!$D$66-Inputs!$D$67,1),0)</f>
        <v>0</v>
      </c>
      <c r="Q36" s="113">
        <f>IF(AND(Q$44&gt;Inputs!$D$65+Inputs!$D$67,Q$44&lt;=Inputs!$D$65+Inputs!$D$66,Inputs!$D$66&gt;Inputs!$D$67),Inputs!$C$18*Inputs!$D$75/MAX(Inputs!$D$66-Inputs!$D$67,1),0)</f>
        <v>0</v>
      </c>
      <c r="R36" s="113">
        <f>IF(AND(R$44&gt;Inputs!$D$65+Inputs!$D$67,R$44&lt;=Inputs!$D$65+Inputs!$D$66,Inputs!$D$66&gt;Inputs!$D$67),Inputs!$C$18*Inputs!$D$75/MAX(Inputs!$D$66-Inputs!$D$67,1),0)</f>
        <v>0</v>
      </c>
      <c r="S36" s="113">
        <f>IF(AND(S$44&gt;Inputs!$D$65+Inputs!$D$67,S$44&lt;=Inputs!$D$65+Inputs!$D$66,Inputs!$D$66&gt;Inputs!$D$67),Inputs!$C$18*Inputs!$D$75/MAX(Inputs!$D$66-Inputs!$D$67,1),0)</f>
        <v>0</v>
      </c>
      <c r="T36" s="113">
        <f>IF(AND(T$44&gt;Inputs!$D$65+Inputs!$D$67,T$44&lt;=Inputs!$D$65+Inputs!$D$66,Inputs!$D$66&gt;Inputs!$D$67),Inputs!$C$18*Inputs!$D$75/MAX(Inputs!$D$66-Inputs!$D$67,1),0)</f>
        <v>0</v>
      </c>
      <c r="U36" s="113">
        <f>IF(AND(U$44&gt;Inputs!$D$65+Inputs!$D$67,U$44&lt;=Inputs!$D$65+Inputs!$D$66,Inputs!$D$66&gt;Inputs!$D$67),Inputs!$C$18*Inputs!$D$75/MAX(Inputs!$D$66-Inputs!$D$67,1),0)</f>
        <v>0</v>
      </c>
      <c r="V36" s="113">
        <f>IF(AND(V$44&gt;Inputs!$D$65+Inputs!$D$67,V$44&lt;=Inputs!$D$65+Inputs!$D$66,Inputs!$D$66&gt;Inputs!$D$67),Inputs!$C$18*Inputs!$D$75/MAX(Inputs!$D$66-Inputs!$D$67,1),0)</f>
        <v>0</v>
      </c>
      <c r="W36" s="113">
        <f>IF(AND(W$44&gt;Inputs!$D$65+Inputs!$D$67,W$44&lt;=Inputs!$D$65+Inputs!$D$66,Inputs!$D$66&gt;Inputs!$D$67),Inputs!$C$18*Inputs!$D$75/MAX(Inputs!$D$66-Inputs!$D$67,1),0)</f>
        <v>0</v>
      </c>
      <c r="X36" s="113">
        <f>IF(AND(X$44&gt;Inputs!$D$65+Inputs!$D$67,X$44&lt;=Inputs!$D$65+Inputs!$D$66,Inputs!$D$66&gt;Inputs!$D$67),Inputs!$C$18*Inputs!$D$75/MAX(Inputs!$D$66-Inputs!$D$67,1),0)</f>
        <v>0</v>
      </c>
      <c r="Y36" s="113">
        <f>IF(AND(Y$44&gt;Inputs!$D$65+Inputs!$D$67,Y$44&lt;=Inputs!$D$65+Inputs!$D$66,Inputs!$D$66&gt;Inputs!$D$67),Inputs!$C$18*Inputs!$D$75/MAX(Inputs!$D$66-Inputs!$D$67,1),0)</f>
        <v>0</v>
      </c>
      <c r="Z36" s="113">
        <f>IF(AND(Z$44&gt;Inputs!$D$65+Inputs!$D$67,Z$44&lt;=Inputs!$D$65+Inputs!$D$66,Inputs!$D$66&gt;Inputs!$D$67),Inputs!$C$18*Inputs!$D$75/MAX(Inputs!$D$66-Inputs!$D$67,1),0)</f>
        <v>0</v>
      </c>
      <c r="AA36" s="113">
        <f>IF(AND(AA$44&gt;Inputs!$D$65+Inputs!$D$67,AA$44&lt;=Inputs!$D$65+Inputs!$D$66,Inputs!$D$66&gt;Inputs!$D$67),Inputs!$C$18*Inputs!$D$75/MAX(Inputs!$D$66-Inputs!$D$67,1),0)</f>
        <v>0</v>
      </c>
      <c r="AB36" s="113">
        <f>IF(AND(AB$44&gt;Inputs!$D$65+Inputs!$D$67,AB$44&lt;=Inputs!$D$65+Inputs!$D$66,Inputs!$D$66&gt;Inputs!$D$67),Inputs!$C$18*Inputs!$D$75/MAX(Inputs!$D$66-Inputs!$D$67,1),0)</f>
        <v>0</v>
      </c>
      <c r="AC36" s="113">
        <f>IF(AND(AC$44&gt;Inputs!$D$65+Inputs!$D$67,AC$44&lt;=Inputs!$D$65+Inputs!$D$66,Inputs!$D$66&gt;Inputs!$D$67),Inputs!$C$18*Inputs!$D$75/MAX(Inputs!$D$66-Inputs!$D$67,1),0)</f>
        <v>0</v>
      </c>
      <c r="AD36" s="113">
        <f>IF(AND(AD$44&gt;Inputs!$D$65+Inputs!$D$67,AD$44&lt;=Inputs!$D$65+Inputs!$D$66,Inputs!$D$66&gt;Inputs!$D$67),Inputs!$C$18*Inputs!$D$75/MAX(Inputs!$D$66-Inputs!$D$67,1),0)</f>
        <v>0</v>
      </c>
      <c r="AE36" s="113">
        <f>IF(AND(AE$44&gt;Inputs!$D$65+Inputs!$D$67,AE$44&lt;=Inputs!$D$65+Inputs!$D$66,Inputs!$D$66&gt;Inputs!$D$67),Inputs!$C$18*Inputs!$D$75/MAX(Inputs!$D$66-Inputs!$D$67,1),0)</f>
        <v>0</v>
      </c>
      <c r="AF36" s="113">
        <f>IF(AND(AF$44&gt;Inputs!$D$65+Inputs!$D$67,AF$44&lt;=Inputs!$D$65+Inputs!$D$66,Inputs!$D$66&gt;Inputs!$D$67),Inputs!$C$18*Inputs!$D$75/MAX(Inputs!$D$66-Inputs!$D$67,1),0)</f>
        <v>0</v>
      </c>
      <c r="AG36" s="113">
        <f>IF(AND(AG$44&gt;Inputs!$D$65+Inputs!$D$67,AG$44&lt;=Inputs!$D$65+Inputs!$D$66,Inputs!$D$66&gt;Inputs!$D$67),Inputs!$C$18*Inputs!$D$75/MAX(Inputs!$D$66-Inputs!$D$67,1),0)</f>
        <v>0</v>
      </c>
      <c r="AH36" s="113">
        <f>IF(AND(AH$44&gt;Inputs!$D$65+Inputs!$D$67,AH$44&lt;=Inputs!$D$65+Inputs!$D$66,Inputs!$D$66&gt;Inputs!$D$67),Inputs!$C$18*Inputs!$D$75/MAX(Inputs!$D$66-Inputs!$D$67,1),0)</f>
        <v>0</v>
      </c>
      <c r="AI36" s="113">
        <f>IF(AND(AI$44&gt;Inputs!$D$65+Inputs!$D$67,AI$44&lt;=Inputs!$D$65+Inputs!$D$66,Inputs!$D$66&gt;Inputs!$D$67),Inputs!$C$18*Inputs!$D$75/MAX(Inputs!$D$66-Inputs!$D$67,1),0)</f>
        <v>0</v>
      </c>
      <c r="AJ36" s="113">
        <f>IF(AND(AJ$44&gt;Inputs!$D$65+Inputs!$D$67,AJ$44&lt;=Inputs!$D$65+Inputs!$D$66,Inputs!$D$66&gt;Inputs!$D$67),Inputs!$C$18*Inputs!$D$75/MAX(Inputs!$D$66-Inputs!$D$67,1),0)</f>
        <v>0</v>
      </c>
      <c r="AK36" s="113">
        <f>IF(AND(AK$44&gt;Inputs!$D$65+Inputs!$D$67,AK$44&lt;=Inputs!$D$65+Inputs!$D$66,Inputs!$D$66&gt;Inputs!$D$67),Inputs!$C$18*Inputs!$D$75/MAX(Inputs!$D$66-Inputs!$D$67,1),0)</f>
        <v>0</v>
      </c>
      <c r="AL36" s="113">
        <f>IF(AND(AL$44&gt;Inputs!$D$65+Inputs!$D$67,AL$44&lt;=Inputs!$D$65+Inputs!$D$66,Inputs!$D$66&gt;Inputs!$D$67),Inputs!$C$18*Inputs!$D$75/MAX(Inputs!$D$66-Inputs!$D$67,1),0)</f>
        <v>0</v>
      </c>
      <c r="AM36" s="113">
        <f>IF(AND(AM$44&gt;Inputs!$D$65+Inputs!$D$67,AM$44&lt;=Inputs!$D$65+Inputs!$D$66,Inputs!$D$66&gt;Inputs!$D$67),Inputs!$C$18*Inputs!$D$75/MAX(Inputs!$D$66-Inputs!$D$67,1),0)</f>
        <v>0</v>
      </c>
      <c r="AN36" s="113">
        <f>IF(AND(AN$44&gt;Inputs!$D$65+Inputs!$D$67,AN$44&lt;=Inputs!$D$65+Inputs!$D$66,Inputs!$D$66&gt;Inputs!$D$67),Inputs!$C$18*Inputs!$D$75/MAX(Inputs!$D$66-Inputs!$D$67,1),0)</f>
        <v>0</v>
      </c>
      <c r="AO36" s="113">
        <f>IF(AND(AO$44&gt;Inputs!$D$65+Inputs!$D$67,AO$44&lt;=Inputs!$D$65+Inputs!$D$66,Inputs!$D$66&gt;Inputs!$D$67),Inputs!$C$18*Inputs!$D$75/MAX(Inputs!$D$66-Inputs!$D$67,1),0)</f>
        <v>0</v>
      </c>
      <c r="AP36" s="113">
        <f>IF(AND(AP$44&gt;Inputs!$D$65+Inputs!$D$67,AP$44&lt;=Inputs!$D$65+Inputs!$D$66,Inputs!$D$66&gt;Inputs!$D$67),Inputs!$C$18*Inputs!$D$75/MAX(Inputs!$D$66-Inputs!$D$67,1),0)</f>
        <v>0</v>
      </c>
      <c r="AQ36" s="113">
        <f>IF(AND(AQ$44&gt;Inputs!$D$65+Inputs!$D$67,AQ$44&lt;=Inputs!$D$65+Inputs!$D$66,Inputs!$D$66&gt;Inputs!$D$67),Inputs!$C$18*Inputs!$D$75/MAX(Inputs!$D$66-Inputs!$D$67,1),0)</f>
        <v>0</v>
      </c>
      <c r="AR36" s="113">
        <f>IF(AND(AR$44&gt;Inputs!$D$65+Inputs!$D$67,AR$44&lt;=Inputs!$D$65+Inputs!$D$66,Inputs!$D$66&gt;Inputs!$D$67),Inputs!$C$18*Inputs!$D$75/MAX(Inputs!$D$66-Inputs!$D$67,1),0)</f>
        <v>0</v>
      </c>
      <c r="AS36" s="113">
        <f>IF(AND(AS$44&gt;Inputs!$D$65+Inputs!$D$67,AS$44&lt;=Inputs!$D$65+Inputs!$D$66,Inputs!$D$66&gt;Inputs!$D$67),Inputs!$C$18*Inputs!$D$75/MAX(Inputs!$D$66-Inputs!$D$67,1),0)</f>
        <v>0</v>
      </c>
      <c r="AT36" s="113">
        <f>IF(AND(AT$44&gt;Inputs!$D$65+Inputs!$D$67,AT$44&lt;=Inputs!$D$65+Inputs!$D$66,Inputs!$D$66&gt;Inputs!$D$67),Inputs!$C$18*Inputs!$D$75/MAX(Inputs!$D$66-Inputs!$D$67,1),0)</f>
        <v>0</v>
      </c>
      <c r="AU36" s="113">
        <f>IF(AND(AU$44&gt;Inputs!$D$65+Inputs!$D$67,AU$44&lt;=Inputs!$D$65+Inputs!$D$66,Inputs!$D$66&gt;Inputs!$D$67),Inputs!$C$18*Inputs!$D$75/MAX(Inputs!$D$66-Inputs!$D$67,1),0)</f>
        <v>0</v>
      </c>
      <c r="AV36" s="113">
        <f>IF(AND(AV$44&gt;Inputs!$D$65+Inputs!$D$67,AV$44&lt;=Inputs!$D$65+Inputs!$D$66,Inputs!$D$66&gt;Inputs!$D$67),Inputs!$C$18*Inputs!$D$75/MAX(Inputs!$D$66-Inputs!$D$67,1),0)</f>
        <v>0</v>
      </c>
      <c r="AW36" s="113">
        <f>IF(AND(AW$44&gt;Inputs!$D$65+Inputs!$D$67,AW$44&lt;=Inputs!$D$65+Inputs!$D$66,Inputs!$D$66&gt;Inputs!$D$67),Inputs!$C$18*Inputs!$D$75/MAX(Inputs!$D$66-Inputs!$D$67,1),0)</f>
        <v>0</v>
      </c>
      <c r="AX36" s="113">
        <f>IF(AND(AX$44&gt;Inputs!$D$65+Inputs!$D$67,AX$44&lt;=Inputs!$D$65+Inputs!$D$66,Inputs!$D$66&gt;Inputs!$D$67),Inputs!$C$18*Inputs!$D$75/MAX(Inputs!$D$66-Inputs!$D$67,1),0)</f>
        <v>0</v>
      </c>
      <c r="AY36" s="113">
        <f>IF(AND(AY$44&gt;Inputs!$D$65+Inputs!$D$67,AY$44&lt;=Inputs!$D$65+Inputs!$D$66,Inputs!$D$66&gt;Inputs!$D$67),Inputs!$C$18*Inputs!$D$75/MAX(Inputs!$D$66-Inputs!$D$67,1),0)</f>
        <v>0</v>
      </c>
      <c r="AZ36" s="113">
        <f>IF(AND(AZ$44&gt;Inputs!$D$65+Inputs!$D$67,AZ$44&lt;=Inputs!$D$65+Inputs!$D$66,Inputs!$D$66&gt;Inputs!$D$67),Inputs!$C$18*Inputs!$D$75/MAX(Inputs!$D$66-Inputs!$D$67,1),0)</f>
        <v>0</v>
      </c>
      <c r="BA36" s="113">
        <f>IF(AND(BA$44&gt;Inputs!$D$65+Inputs!$D$67,BA$44&lt;=Inputs!$D$65+Inputs!$D$66,Inputs!$D$66&gt;Inputs!$D$67),Inputs!$C$18*Inputs!$D$75/MAX(Inputs!$D$66-Inputs!$D$67,1),0)</f>
        <v>0</v>
      </c>
      <c r="BB36" s="113">
        <f>IF(AND(BB$44&gt;Inputs!$D$65+Inputs!$D$67,BB$44&lt;=Inputs!$D$65+Inputs!$D$66,Inputs!$D$66&gt;Inputs!$D$67),Inputs!$C$18*Inputs!$D$75/MAX(Inputs!$D$66-Inputs!$D$67,1),0)</f>
        <v>0</v>
      </c>
      <c r="BC36" s="113">
        <f>IF(AND(BC$44&gt;Inputs!$D$65+Inputs!$D$67,BC$44&lt;=Inputs!$D$65+Inputs!$D$66,Inputs!$D$66&gt;Inputs!$D$67),Inputs!$C$18*Inputs!$D$75/MAX(Inputs!$D$66-Inputs!$D$67,1),0)</f>
        <v>0</v>
      </c>
      <c r="BD36" s="113">
        <f>IF(AND(BD$44&gt;Inputs!$D$65+Inputs!$D$67,BD$44&lt;=Inputs!$D$65+Inputs!$D$66,Inputs!$D$66&gt;Inputs!$D$67),Inputs!$C$18*Inputs!$D$75/MAX(Inputs!$D$66-Inputs!$D$67,1),0)</f>
        <v>0</v>
      </c>
      <c r="BE36" s="113">
        <f>IF(AND(BE$44&gt;Inputs!$D$65+Inputs!$D$67,BE$44&lt;=Inputs!$D$65+Inputs!$D$66,Inputs!$D$66&gt;Inputs!$D$67),Inputs!$C$18*Inputs!$D$75/MAX(Inputs!$D$66-Inputs!$D$67,1),0)</f>
        <v>0</v>
      </c>
      <c r="BF36" s="113">
        <f>IF(AND(BF$44&gt;Inputs!$D$65+Inputs!$D$67,BF$44&lt;=Inputs!$D$65+Inputs!$D$66,Inputs!$D$66&gt;Inputs!$D$67),Inputs!$C$18*Inputs!$D$75/MAX(Inputs!$D$66-Inputs!$D$67,1),0)</f>
        <v>0</v>
      </c>
      <c r="BG36" s="113">
        <f>IF(AND(BG$44&gt;Inputs!$D$65+Inputs!$D$67,BG$44&lt;=Inputs!$D$65+Inputs!$D$66,Inputs!$D$66&gt;Inputs!$D$67),Inputs!$C$18*Inputs!$D$75/MAX(Inputs!$D$66-Inputs!$D$67,1),0)</f>
        <v>0</v>
      </c>
      <c r="BH36" s="113">
        <f>IF(AND(BH$44&gt;Inputs!$D$65+Inputs!$D$67,BH$44&lt;=Inputs!$D$65+Inputs!$D$66,Inputs!$D$66&gt;Inputs!$D$67),Inputs!$C$18*Inputs!$D$75/MAX(Inputs!$D$66-Inputs!$D$67,1),0)</f>
        <v>0</v>
      </c>
      <c r="BI36" s="113">
        <f>IF(AND(BI$44&gt;Inputs!$D$65+Inputs!$D$67,BI$44&lt;=Inputs!$D$65+Inputs!$D$66,Inputs!$D$66&gt;Inputs!$D$67),Inputs!$C$18*Inputs!$D$75/MAX(Inputs!$D$66-Inputs!$D$67,1),0)</f>
        <v>0</v>
      </c>
      <c r="BJ36" s="113">
        <f>IF(AND(BJ$44&gt;Inputs!$D$65+Inputs!$D$67,BJ$44&lt;=Inputs!$D$65+Inputs!$D$66,Inputs!$D$66&gt;Inputs!$D$67),Inputs!$C$18*Inputs!$D$75/MAX(Inputs!$D$66-Inputs!$D$67,1),0)</f>
        <v>0</v>
      </c>
      <c r="BK36" s="113">
        <f>IF(AND(BK$44&gt;Inputs!$D$65+Inputs!$D$67,BK$44&lt;=Inputs!$D$65+Inputs!$D$66,Inputs!$D$66&gt;Inputs!$D$67),Inputs!$C$18*Inputs!$D$75/MAX(Inputs!$D$66-Inputs!$D$67,1),0)</f>
        <v>0</v>
      </c>
      <c r="BL36" s="113">
        <f>IF(AND(BL$44&gt;Inputs!$D$65+Inputs!$D$67,BL$44&lt;=Inputs!$D$65+Inputs!$D$66,Inputs!$D$66&gt;Inputs!$D$67),Inputs!$C$18*Inputs!$D$75/MAX(Inputs!$D$66-Inputs!$D$67,1),0)</f>
        <v>0</v>
      </c>
      <c r="BM36" s="113">
        <f>IF(AND(BM$44&gt;Inputs!$D$65+Inputs!$D$67,BM$44&lt;=Inputs!$D$65+Inputs!$D$66,Inputs!$D$66&gt;Inputs!$D$67),Inputs!$C$18*Inputs!$D$75/MAX(Inputs!$D$66-Inputs!$D$67,1),0)</f>
        <v>0</v>
      </c>
      <c r="BN36" s="113">
        <f>IF(AND(BN$44&gt;Inputs!$D$65+Inputs!$D$67,BN$44&lt;=Inputs!$D$65+Inputs!$D$66,Inputs!$D$66&gt;Inputs!$D$67),Inputs!$C$18*Inputs!$D$75/MAX(Inputs!$D$66-Inputs!$D$67,1),0)</f>
        <v>0</v>
      </c>
      <c r="BO36" s="113">
        <f>IF(AND(BO$44&gt;Inputs!$D$65+Inputs!$D$67,BO$44&lt;=Inputs!$D$65+Inputs!$D$66,Inputs!$D$66&gt;Inputs!$D$67),Inputs!$C$18*Inputs!$D$75/MAX(Inputs!$D$66-Inputs!$D$67,1),0)</f>
        <v>0</v>
      </c>
    </row>
    <row r="37" spans="1:67" x14ac:dyDescent="0.4">
      <c r="B37" s="105" t="s">
        <v>135</v>
      </c>
      <c r="C37" s="113">
        <f>SUM(H37:BO37)</f>
        <v>0</v>
      </c>
      <c r="H37" s="113">
        <f>IF(H$44=Inputs!$D$65+Inputs!$D$66+Inputs!$D$77,Inputs!$C$18*Inputs!$D$76,0)</f>
        <v>0</v>
      </c>
      <c r="I37" s="113">
        <f>IF(I$44=Inputs!$D$65+Inputs!$D$66+Inputs!$D$77,Inputs!$C$18*Inputs!$D$76,0)</f>
        <v>0</v>
      </c>
      <c r="J37" s="113">
        <f>IF(J$44=Inputs!$D$65+Inputs!$D$66+Inputs!$D$77,Inputs!$C$18*Inputs!$D$76,0)</f>
        <v>0</v>
      </c>
      <c r="K37" s="113">
        <f>IF(K$44=Inputs!$D$65+Inputs!$D$66+Inputs!$D$77,Inputs!$C$18*Inputs!$D$76,0)</f>
        <v>0</v>
      </c>
      <c r="L37" s="113">
        <f>IF(L$44=Inputs!$D$65+Inputs!$D$66+Inputs!$D$77,Inputs!$C$18*Inputs!$D$76,0)</f>
        <v>0</v>
      </c>
      <c r="M37" s="113">
        <f>IF(M$44=Inputs!$D$65+Inputs!$D$66+Inputs!$D$77,Inputs!$C$18*Inputs!$D$76,0)</f>
        <v>0</v>
      </c>
      <c r="N37" s="113">
        <f>IF(N$44=Inputs!$D$65+Inputs!$D$66+Inputs!$D$77,Inputs!$C$18*Inputs!$D$76,0)</f>
        <v>0</v>
      </c>
      <c r="O37" s="113">
        <f>IF(O$44=Inputs!$D$65+Inputs!$D$66+Inputs!$D$77,Inputs!$C$18*Inputs!$D$76,0)</f>
        <v>0</v>
      </c>
      <c r="P37" s="113">
        <f>IF(P$44=Inputs!$D$65+Inputs!$D$66+Inputs!$D$77,Inputs!$C$18*Inputs!$D$76,0)</f>
        <v>0</v>
      </c>
      <c r="Q37" s="113">
        <f>IF(Q$44=Inputs!$D$65+Inputs!$D$66+Inputs!$D$77,Inputs!$C$18*Inputs!$D$76,0)</f>
        <v>0</v>
      </c>
      <c r="R37" s="113">
        <f>IF(R$44=Inputs!$D$65+Inputs!$D$66+Inputs!$D$77,Inputs!$C$18*Inputs!$D$76,0)</f>
        <v>0</v>
      </c>
      <c r="S37" s="113">
        <f>IF(S$44=Inputs!$D$65+Inputs!$D$66+Inputs!$D$77,Inputs!$C$18*Inputs!$D$76,0)</f>
        <v>0</v>
      </c>
      <c r="T37" s="113">
        <f>IF(T$44=Inputs!$D$65+Inputs!$D$66+Inputs!$D$77,Inputs!$C$18*Inputs!$D$76,0)</f>
        <v>0</v>
      </c>
      <c r="U37" s="113">
        <f>IF(U$44=Inputs!$D$65+Inputs!$D$66+Inputs!$D$77,Inputs!$C$18*Inputs!$D$76,0)</f>
        <v>0</v>
      </c>
      <c r="V37" s="113">
        <f>IF(V$44=Inputs!$D$65+Inputs!$D$66+Inputs!$D$77,Inputs!$C$18*Inputs!$D$76,0)</f>
        <v>0</v>
      </c>
      <c r="W37" s="113">
        <f>IF(W$44=Inputs!$D$65+Inputs!$D$66+Inputs!$D$77,Inputs!$C$18*Inputs!$D$76,0)</f>
        <v>0</v>
      </c>
      <c r="X37" s="113">
        <f>IF(X$44=Inputs!$D$65+Inputs!$D$66+Inputs!$D$77,Inputs!$C$18*Inputs!$D$76,0)</f>
        <v>0</v>
      </c>
      <c r="Y37" s="113">
        <f>IF(Y$44=Inputs!$D$65+Inputs!$D$66+Inputs!$D$77,Inputs!$C$18*Inputs!$D$76,0)</f>
        <v>0</v>
      </c>
      <c r="Z37" s="113">
        <f>IF(Z$44=Inputs!$D$65+Inputs!$D$66+Inputs!$D$77,Inputs!$C$18*Inputs!$D$76,0)</f>
        <v>0</v>
      </c>
      <c r="AA37" s="113">
        <f>IF(AA$44=Inputs!$D$65+Inputs!$D$66+Inputs!$D$77,Inputs!$C$18*Inputs!$D$76,0)</f>
        <v>0</v>
      </c>
      <c r="AB37" s="113">
        <f>IF(AB$44=Inputs!$D$65+Inputs!$D$66+Inputs!$D$77,Inputs!$C$18*Inputs!$D$76,0)</f>
        <v>0</v>
      </c>
      <c r="AC37" s="113">
        <f>IF(AC$44=Inputs!$D$65+Inputs!$D$66+Inputs!$D$77,Inputs!$C$18*Inputs!$D$76,0)</f>
        <v>0</v>
      </c>
      <c r="AD37" s="113">
        <f>IF(AD$44=Inputs!$D$65+Inputs!$D$66+Inputs!$D$77,Inputs!$C$18*Inputs!$D$76,0)</f>
        <v>0</v>
      </c>
      <c r="AE37" s="113">
        <f>IF(AE$44=Inputs!$D$65+Inputs!$D$66+Inputs!$D$77,Inputs!$C$18*Inputs!$D$76,0)</f>
        <v>0</v>
      </c>
      <c r="AF37" s="113">
        <f>IF(AF$44=Inputs!$D$65+Inputs!$D$66+Inputs!$D$77,Inputs!$C$18*Inputs!$D$76,0)</f>
        <v>0</v>
      </c>
      <c r="AG37" s="113">
        <f>IF(AG$44=Inputs!$D$65+Inputs!$D$66+Inputs!$D$77,Inputs!$C$18*Inputs!$D$76,0)</f>
        <v>0</v>
      </c>
      <c r="AH37" s="113">
        <f>IF(AH$44=Inputs!$D$65+Inputs!$D$66+Inputs!$D$77,Inputs!$C$18*Inputs!$D$76,0)</f>
        <v>0</v>
      </c>
      <c r="AI37" s="113">
        <f>IF(AI$44=Inputs!$D$65+Inputs!$D$66+Inputs!$D$77,Inputs!$C$18*Inputs!$D$76,0)</f>
        <v>0</v>
      </c>
      <c r="AJ37" s="113">
        <f>IF(AJ$44=Inputs!$D$65+Inputs!$D$66+Inputs!$D$77,Inputs!$C$18*Inputs!$D$76,0)</f>
        <v>0</v>
      </c>
      <c r="AK37" s="113">
        <f>IF(AK$44=Inputs!$D$65+Inputs!$D$66+Inputs!$D$77,Inputs!$C$18*Inputs!$D$76,0)</f>
        <v>0</v>
      </c>
      <c r="AL37" s="113">
        <f>IF(AL$44=Inputs!$D$65+Inputs!$D$66+Inputs!$D$77,Inputs!$C$18*Inputs!$D$76,0)</f>
        <v>0</v>
      </c>
      <c r="AM37" s="113">
        <f>IF(AM$44=Inputs!$D$65+Inputs!$D$66+Inputs!$D$77,Inputs!$C$18*Inputs!$D$76,0)</f>
        <v>0</v>
      </c>
      <c r="AN37" s="113">
        <f>IF(AN$44=Inputs!$D$65+Inputs!$D$66+Inputs!$D$77,Inputs!$C$18*Inputs!$D$76,0)</f>
        <v>0</v>
      </c>
      <c r="AO37" s="113">
        <f>IF(AO$44=Inputs!$D$65+Inputs!$D$66+Inputs!$D$77,Inputs!$C$18*Inputs!$D$76,0)</f>
        <v>0</v>
      </c>
      <c r="AP37" s="113">
        <f>IF(AP$44=Inputs!$D$65+Inputs!$D$66+Inputs!$D$77,Inputs!$C$18*Inputs!$D$76,0)</f>
        <v>0</v>
      </c>
      <c r="AQ37" s="113">
        <f>IF(AQ$44=Inputs!$D$65+Inputs!$D$66+Inputs!$D$77,Inputs!$C$18*Inputs!$D$76,0)</f>
        <v>0</v>
      </c>
      <c r="AR37" s="113">
        <f>IF(AR$44=Inputs!$D$65+Inputs!$D$66+Inputs!$D$77,Inputs!$C$18*Inputs!$D$76,0)</f>
        <v>0</v>
      </c>
      <c r="AS37" s="113">
        <f>IF(AS$44=Inputs!$D$65+Inputs!$D$66+Inputs!$D$77,Inputs!$C$18*Inputs!$D$76,0)</f>
        <v>0</v>
      </c>
      <c r="AT37" s="113">
        <f>IF(AT$44=Inputs!$D$65+Inputs!$D$66+Inputs!$D$77,Inputs!$C$18*Inputs!$D$76,0)</f>
        <v>0</v>
      </c>
      <c r="AU37" s="113">
        <f>IF(AU$44=Inputs!$D$65+Inputs!$D$66+Inputs!$D$77,Inputs!$C$18*Inputs!$D$76,0)</f>
        <v>0</v>
      </c>
      <c r="AV37" s="113">
        <f>IF(AV$44=Inputs!$D$65+Inputs!$D$66+Inputs!$D$77,Inputs!$C$18*Inputs!$D$76,0)</f>
        <v>0</v>
      </c>
      <c r="AW37" s="113">
        <f>IF(AW$44=Inputs!$D$65+Inputs!$D$66+Inputs!$D$77,Inputs!$C$18*Inputs!$D$76,0)</f>
        <v>0</v>
      </c>
      <c r="AX37" s="113">
        <f>IF(AX$44=Inputs!$D$65+Inputs!$D$66+Inputs!$D$77,Inputs!$C$18*Inputs!$D$76,0)</f>
        <v>0</v>
      </c>
      <c r="AY37" s="113">
        <f>IF(AY$44=Inputs!$D$65+Inputs!$D$66+Inputs!$D$77,Inputs!$C$18*Inputs!$D$76,0)</f>
        <v>0</v>
      </c>
      <c r="AZ37" s="113">
        <f>IF(AZ$44=Inputs!$D$65+Inputs!$D$66+Inputs!$D$77,Inputs!$C$18*Inputs!$D$76,0)</f>
        <v>0</v>
      </c>
      <c r="BA37" s="113">
        <f>IF(BA$44=Inputs!$D$65+Inputs!$D$66+Inputs!$D$77,Inputs!$C$18*Inputs!$D$76,0)</f>
        <v>0</v>
      </c>
      <c r="BB37" s="113">
        <f>IF(BB$44=Inputs!$D$65+Inputs!$D$66+Inputs!$D$77,Inputs!$C$18*Inputs!$D$76,0)</f>
        <v>0</v>
      </c>
      <c r="BC37" s="113">
        <f>IF(BC$44=Inputs!$D$65+Inputs!$D$66+Inputs!$D$77,Inputs!$C$18*Inputs!$D$76,0)</f>
        <v>0</v>
      </c>
      <c r="BD37" s="113">
        <f>IF(BD$44=Inputs!$D$65+Inputs!$D$66+Inputs!$D$77,Inputs!$C$18*Inputs!$D$76,0)</f>
        <v>0</v>
      </c>
      <c r="BE37" s="113">
        <f>IF(BE$44=Inputs!$D$65+Inputs!$D$66+Inputs!$D$77,Inputs!$C$18*Inputs!$D$76,0)</f>
        <v>0</v>
      </c>
      <c r="BF37" s="113">
        <f>IF(BF$44=Inputs!$D$65+Inputs!$D$66+Inputs!$D$77,Inputs!$C$18*Inputs!$D$76,0)</f>
        <v>0</v>
      </c>
      <c r="BG37" s="113">
        <f>IF(BG$44=Inputs!$D$65+Inputs!$D$66+Inputs!$D$77,Inputs!$C$18*Inputs!$D$76,0)</f>
        <v>0</v>
      </c>
      <c r="BH37" s="113">
        <f>IF(BH$44=Inputs!$D$65+Inputs!$D$66+Inputs!$D$77,Inputs!$C$18*Inputs!$D$76,0)</f>
        <v>0</v>
      </c>
      <c r="BI37" s="113">
        <f>IF(BI$44=Inputs!$D$65+Inputs!$D$66+Inputs!$D$77,Inputs!$C$18*Inputs!$D$76,0)</f>
        <v>0</v>
      </c>
      <c r="BJ37" s="113">
        <f>IF(BJ$44=Inputs!$D$65+Inputs!$D$66+Inputs!$D$77,Inputs!$C$18*Inputs!$D$76,0)</f>
        <v>0</v>
      </c>
      <c r="BK37" s="113">
        <f>IF(BK$44=Inputs!$D$65+Inputs!$D$66+Inputs!$D$77,Inputs!$C$18*Inputs!$D$76,0)</f>
        <v>0</v>
      </c>
      <c r="BL37" s="113">
        <f>IF(BL$44=Inputs!$D$65+Inputs!$D$66+Inputs!$D$77,Inputs!$C$18*Inputs!$D$76,0)</f>
        <v>0</v>
      </c>
      <c r="BM37" s="113">
        <f>IF(BM$44=Inputs!$D$65+Inputs!$D$66+Inputs!$D$77,Inputs!$C$18*Inputs!$D$76,0)</f>
        <v>0</v>
      </c>
      <c r="BN37" s="113">
        <f>IF(BN$44=Inputs!$D$65+Inputs!$D$66+Inputs!$D$77,Inputs!$C$18*Inputs!$D$76,0)</f>
        <v>0</v>
      </c>
      <c r="BO37" s="113">
        <f>IF(BO$44=Inputs!$D$65+Inputs!$D$66+Inputs!$D$77,Inputs!$C$18*Inputs!$D$76,0)</f>
        <v>0</v>
      </c>
    </row>
    <row r="38" spans="1:67" x14ac:dyDescent="0.4">
      <c r="B38" s="100" t="s">
        <v>136</v>
      </c>
      <c r="C38" s="111">
        <f>SUM(H38:BO38)</f>
        <v>0</v>
      </c>
      <c r="H38" s="111">
        <f>H34</f>
        <v>0</v>
      </c>
      <c r="I38" s="111">
        <f t="shared" ref="I38:BO38" si="10">I34</f>
        <v>0</v>
      </c>
      <c r="J38" s="111">
        <f t="shared" si="10"/>
        <v>0</v>
      </c>
      <c r="K38" s="111">
        <f t="shared" si="10"/>
        <v>0</v>
      </c>
      <c r="L38" s="111">
        <f t="shared" si="10"/>
        <v>0</v>
      </c>
      <c r="M38" s="111">
        <f t="shared" si="10"/>
        <v>0</v>
      </c>
      <c r="N38" s="111">
        <f t="shared" si="10"/>
        <v>0</v>
      </c>
      <c r="O38" s="111">
        <f t="shared" si="10"/>
        <v>0</v>
      </c>
      <c r="P38" s="111">
        <f t="shared" si="10"/>
        <v>0</v>
      </c>
      <c r="Q38" s="111">
        <f t="shared" si="10"/>
        <v>0</v>
      </c>
      <c r="R38" s="111">
        <f t="shared" si="10"/>
        <v>0</v>
      </c>
      <c r="S38" s="111">
        <f t="shared" si="10"/>
        <v>0</v>
      </c>
      <c r="T38" s="111">
        <f t="shared" si="10"/>
        <v>0</v>
      </c>
      <c r="U38" s="111">
        <f t="shared" si="10"/>
        <v>0</v>
      </c>
      <c r="V38" s="111">
        <f t="shared" si="10"/>
        <v>0</v>
      </c>
      <c r="W38" s="111">
        <f t="shared" si="10"/>
        <v>0</v>
      </c>
      <c r="X38" s="111">
        <f t="shared" si="10"/>
        <v>0</v>
      </c>
      <c r="Y38" s="111">
        <f t="shared" si="10"/>
        <v>0</v>
      </c>
      <c r="Z38" s="111">
        <f t="shared" si="10"/>
        <v>0</v>
      </c>
      <c r="AA38" s="111">
        <f t="shared" si="10"/>
        <v>0</v>
      </c>
      <c r="AB38" s="111">
        <f t="shared" si="10"/>
        <v>0</v>
      </c>
      <c r="AC38" s="111">
        <f t="shared" si="10"/>
        <v>0</v>
      </c>
      <c r="AD38" s="111">
        <f t="shared" si="10"/>
        <v>0</v>
      </c>
      <c r="AE38" s="111">
        <f t="shared" si="10"/>
        <v>0</v>
      </c>
      <c r="AF38" s="111">
        <f t="shared" si="10"/>
        <v>0</v>
      </c>
      <c r="AG38" s="111">
        <f t="shared" si="10"/>
        <v>0</v>
      </c>
      <c r="AH38" s="111">
        <f t="shared" si="10"/>
        <v>0</v>
      </c>
      <c r="AI38" s="111">
        <f t="shared" si="10"/>
        <v>0</v>
      </c>
      <c r="AJ38" s="111">
        <f t="shared" si="10"/>
        <v>0</v>
      </c>
      <c r="AK38" s="111">
        <f t="shared" si="10"/>
        <v>0</v>
      </c>
      <c r="AL38" s="111">
        <f t="shared" si="10"/>
        <v>0</v>
      </c>
      <c r="AM38" s="111">
        <f t="shared" si="10"/>
        <v>0</v>
      </c>
      <c r="AN38" s="111">
        <f t="shared" si="10"/>
        <v>0</v>
      </c>
      <c r="AO38" s="111">
        <f t="shared" si="10"/>
        <v>0</v>
      </c>
      <c r="AP38" s="111">
        <f t="shared" si="10"/>
        <v>0</v>
      </c>
      <c r="AQ38" s="111">
        <f t="shared" si="10"/>
        <v>0</v>
      </c>
      <c r="AR38" s="111">
        <f t="shared" si="10"/>
        <v>0</v>
      </c>
      <c r="AS38" s="111">
        <f t="shared" si="10"/>
        <v>0</v>
      </c>
      <c r="AT38" s="111">
        <f t="shared" si="10"/>
        <v>0</v>
      </c>
      <c r="AU38" s="111">
        <f t="shared" si="10"/>
        <v>0</v>
      </c>
      <c r="AV38" s="111">
        <f t="shared" si="10"/>
        <v>0</v>
      </c>
      <c r="AW38" s="111">
        <f t="shared" si="10"/>
        <v>0</v>
      </c>
      <c r="AX38" s="111">
        <f t="shared" si="10"/>
        <v>0</v>
      </c>
      <c r="AY38" s="111">
        <f t="shared" si="10"/>
        <v>0</v>
      </c>
      <c r="AZ38" s="111">
        <f t="shared" si="10"/>
        <v>0</v>
      </c>
      <c r="BA38" s="111">
        <f t="shared" si="10"/>
        <v>0</v>
      </c>
      <c r="BB38" s="111">
        <f t="shared" si="10"/>
        <v>0</v>
      </c>
      <c r="BC38" s="111">
        <f t="shared" si="10"/>
        <v>0</v>
      </c>
      <c r="BD38" s="111">
        <f t="shared" si="10"/>
        <v>0</v>
      </c>
      <c r="BE38" s="111">
        <f t="shared" si="10"/>
        <v>0</v>
      </c>
      <c r="BF38" s="111">
        <f t="shared" si="10"/>
        <v>0</v>
      </c>
      <c r="BG38" s="111">
        <f t="shared" si="10"/>
        <v>0</v>
      </c>
      <c r="BH38" s="111">
        <f t="shared" si="10"/>
        <v>0</v>
      </c>
      <c r="BI38" s="111">
        <f t="shared" si="10"/>
        <v>0</v>
      </c>
      <c r="BJ38" s="111">
        <f t="shared" si="10"/>
        <v>0</v>
      </c>
      <c r="BK38" s="111">
        <f t="shared" si="10"/>
        <v>0</v>
      </c>
      <c r="BL38" s="111">
        <f t="shared" si="10"/>
        <v>0</v>
      </c>
      <c r="BM38" s="111">
        <f t="shared" si="10"/>
        <v>0</v>
      </c>
      <c r="BN38" s="111">
        <f t="shared" si="10"/>
        <v>0</v>
      </c>
      <c r="BO38" s="111">
        <f t="shared" si="10"/>
        <v>0</v>
      </c>
    </row>
    <row r="39" spans="1:67" x14ac:dyDescent="0.4">
      <c r="B39" s="106" t="s">
        <v>137</v>
      </c>
      <c r="C39" s="104"/>
    </row>
    <row r="40" spans="1:67" x14ac:dyDescent="0.4">
      <c r="B40" s="99" t="s">
        <v>138</v>
      </c>
      <c r="C40" s="109">
        <f>SUM(H40:BO40)</f>
        <v>0</v>
      </c>
      <c r="H40" s="109">
        <f>-H48</f>
        <v>0</v>
      </c>
      <c r="I40" s="109">
        <f t="shared" ref="I40:BO40" si="11">-I48</f>
        <v>0</v>
      </c>
      <c r="J40" s="109">
        <f t="shared" si="11"/>
        <v>0</v>
      </c>
      <c r="K40" s="109">
        <f t="shared" si="11"/>
        <v>0</v>
      </c>
      <c r="L40" s="109">
        <f t="shared" si="11"/>
        <v>0</v>
      </c>
      <c r="M40" s="109">
        <f t="shared" si="11"/>
        <v>0</v>
      </c>
      <c r="N40" s="109">
        <f t="shared" si="11"/>
        <v>0</v>
      </c>
      <c r="O40" s="109">
        <f t="shared" si="11"/>
        <v>0</v>
      </c>
      <c r="P40" s="109">
        <f t="shared" si="11"/>
        <v>0</v>
      </c>
      <c r="Q40" s="109">
        <f t="shared" si="11"/>
        <v>0</v>
      </c>
      <c r="R40" s="109">
        <f t="shared" si="11"/>
        <v>0</v>
      </c>
      <c r="S40" s="109">
        <f t="shared" si="11"/>
        <v>0</v>
      </c>
      <c r="T40" s="109">
        <f t="shared" si="11"/>
        <v>0</v>
      </c>
      <c r="U40" s="109">
        <f t="shared" si="11"/>
        <v>0</v>
      </c>
      <c r="V40" s="109">
        <f t="shared" si="11"/>
        <v>0</v>
      </c>
      <c r="W40" s="109">
        <f t="shared" si="11"/>
        <v>0</v>
      </c>
      <c r="X40" s="109">
        <f t="shared" si="11"/>
        <v>0</v>
      </c>
      <c r="Y40" s="109">
        <f t="shared" si="11"/>
        <v>0</v>
      </c>
      <c r="Z40" s="109">
        <f t="shared" si="11"/>
        <v>0</v>
      </c>
      <c r="AA40" s="109">
        <f t="shared" si="11"/>
        <v>0</v>
      </c>
      <c r="AB40" s="109">
        <f t="shared" si="11"/>
        <v>0</v>
      </c>
      <c r="AC40" s="109">
        <f t="shared" si="11"/>
        <v>0</v>
      </c>
      <c r="AD40" s="109">
        <f t="shared" si="11"/>
        <v>0</v>
      </c>
      <c r="AE40" s="109">
        <f t="shared" si="11"/>
        <v>0</v>
      </c>
      <c r="AF40" s="109">
        <f t="shared" si="11"/>
        <v>0</v>
      </c>
      <c r="AG40" s="109">
        <f t="shared" si="11"/>
        <v>0</v>
      </c>
      <c r="AH40" s="109">
        <f t="shared" si="11"/>
        <v>0</v>
      </c>
      <c r="AI40" s="109">
        <f t="shared" si="11"/>
        <v>0</v>
      </c>
      <c r="AJ40" s="109">
        <f t="shared" si="11"/>
        <v>0</v>
      </c>
      <c r="AK40" s="109">
        <f t="shared" si="11"/>
        <v>0</v>
      </c>
      <c r="AL40" s="109">
        <f t="shared" si="11"/>
        <v>0</v>
      </c>
      <c r="AM40" s="109">
        <f t="shared" si="11"/>
        <v>0</v>
      </c>
      <c r="AN40" s="109">
        <f t="shared" si="11"/>
        <v>0</v>
      </c>
      <c r="AO40" s="109">
        <f t="shared" si="11"/>
        <v>0</v>
      </c>
      <c r="AP40" s="109">
        <f t="shared" si="11"/>
        <v>0</v>
      </c>
      <c r="AQ40" s="109">
        <f t="shared" si="11"/>
        <v>0</v>
      </c>
      <c r="AR40" s="109">
        <f t="shared" si="11"/>
        <v>0</v>
      </c>
      <c r="AS40" s="109">
        <f t="shared" si="11"/>
        <v>0</v>
      </c>
      <c r="AT40" s="109">
        <f t="shared" si="11"/>
        <v>0</v>
      </c>
      <c r="AU40" s="109">
        <f t="shared" si="11"/>
        <v>0</v>
      </c>
      <c r="AV40" s="109">
        <f t="shared" si="11"/>
        <v>0</v>
      </c>
      <c r="AW40" s="109">
        <f t="shared" si="11"/>
        <v>0</v>
      </c>
      <c r="AX40" s="109">
        <f t="shared" si="11"/>
        <v>0</v>
      </c>
      <c r="AY40" s="109">
        <f t="shared" si="11"/>
        <v>0</v>
      </c>
      <c r="AZ40" s="109">
        <f t="shared" si="11"/>
        <v>0</v>
      </c>
      <c r="BA40" s="109">
        <f t="shared" si="11"/>
        <v>0</v>
      </c>
      <c r="BB40" s="109">
        <f t="shared" si="11"/>
        <v>0</v>
      </c>
      <c r="BC40" s="109">
        <f t="shared" si="11"/>
        <v>0</v>
      </c>
      <c r="BD40" s="109">
        <f t="shared" si="11"/>
        <v>0</v>
      </c>
      <c r="BE40" s="109">
        <f t="shared" si="11"/>
        <v>0</v>
      </c>
      <c r="BF40" s="109">
        <f t="shared" si="11"/>
        <v>0</v>
      </c>
      <c r="BG40" s="109">
        <f t="shared" si="11"/>
        <v>0</v>
      </c>
      <c r="BH40" s="109">
        <f t="shared" si="11"/>
        <v>0</v>
      </c>
      <c r="BI40" s="109">
        <f t="shared" si="11"/>
        <v>0</v>
      </c>
      <c r="BJ40" s="109">
        <f t="shared" si="11"/>
        <v>0</v>
      </c>
      <c r="BK40" s="109">
        <f t="shared" si="11"/>
        <v>0</v>
      </c>
      <c r="BL40" s="109">
        <f t="shared" si="11"/>
        <v>0</v>
      </c>
      <c r="BM40" s="109">
        <f t="shared" si="11"/>
        <v>0</v>
      </c>
      <c r="BN40" s="109">
        <f t="shared" si="11"/>
        <v>0</v>
      </c>
      <c r="BO40" s="109">
        <f t="shared" si="11"/>
        <v>0</v>
      </c>
    </row>
    <row r="41" spans="1:67" x14ac:dyDescent="0.4">
      <c r="B41" s="99" t="s">
        <v>139</v>
      </c>
      <c r="C41" s="109">
        <f>SUM(H41:BO41)</f>
        <v>0</v>
      </c>
      <c r="H41" s="109">
        <f>-(H49+H50)</f>
        <v>0</v>
      </c>
      <c r="I41" s="109">
        <f t="shared" ref="I41:BO41" si="12">-(I49+I50)</f>
        <v>0</v>
      </c>
      <c r="J41" s="109">
        <f t="shared" si="12"/>
        <v>0</v>
      </c>
      <c r="K41" s="109">
        <f t="shared" si="12"/>
        <v>0</v>
      </c>
      <c r="L41" s="109">
        <f t="shared" si="12"/>
        <v>0</v>
      </c>
      <c r="M41" s="109">
        <f t="shared" si="12"/>
        <v>0</v>
      </c>
      <c r="N41" s="109">
        <f t="shared" si="12"/>
        <v>0</v>
      </c>
      <c r="O41" s="109">
        <f t="shared" si="12"/>
        <v>0</v>
      </c>
      <c r="P41" s="109">
        <f t="shared" si="12"/>
        <v>0</v>
      </c>
      <c r="Q41" s="109">
        <f t="shared" si="12"/>
        <v>0</v>
      </c>
      <c r="R41" s="109">
        <f t="shared" si="12"/>
        <v>0</v>
      </c>
      <c r="S41" s="109">
        <f t="shared" si="12"/>
        <v>0</v>
      </c>
      <c r="T41" s="109">
        <f t="shared" si="12"/>
        <v>0</v>
      </c>
      <c r="U41" s="109">
        <f t="shared" si="12"/>
        <v>0</v>
      </c>
      <c r="V41" s="109">
        <f t="shared" si="12"/>
        <v>0</v>
      </c>
      <c r="W41" s="109">
        <f t="shared" si="12"/>
        <v>0</v>
      </c>
      <c r="X41" s="109">
        <f t="shared" si="12"/>
        <v>0</v>
      </c>
      <c r="Y41" s="109">
        <f t="shared" si="12"/>
        <v>0</v>
      </c>
      <c r="Z41" s="109">
        <f t="shared" si="12"/>
        <v>0</v>
      </c>
      <c r="AA41" s="109">
        <f t="shared" si="12"/>
        <v>0</v>
      </c>
      <c r="AB41" s="109">
        <f t="shared" si="12"/>
        <v>0</v>
      </c>
      <c r="AC41" s="109">
        <f t="shared" si="12"/>
        <v>0</v>
      </c>
      <c r="AD41" s="109">
        <f t="shared" si="12"/>
        <v>0</v>
      </c>
      <c r="AE41" s="109">
        <f t="shared" si="12"/>
        <v>0</v>
      </c>
      <c r="AF41" s="109">
        <f t="shared" si="12"/>
        <v>0</v>
      </c>
      <c r="AG41" s="109">
        <f t="shared" si="12"/>
        <v>0</v>
      </c>
      <c r="AH41" s="109">
        <f t="shared" si="12"/>
        <v>0</v>
      </c>
      <c r="AI41" s="109">
        <f t="shared" si="12"/>
        <v>0</v>
      </c>
      <c r="AJ41" s="109">
        <f t="shared" si="12"/>
        <v>0</v>
      </c>
      <c r="AK41" s="109">
        <f t="shared" si="12"/>
        <v>0</v>
      </c>
      <c r="AL41" s="109">
        <f t="shared" si="12"/>
        <v>0</v>
      </c>
      <c r="AM41" s="109">
        <f t="shared" si="12"/>
        <v>0</v>
      </c>
      <c r="AN41" s="109">
        <f t="shared" si="12"/>
        <v>0</v>
      </c>
      <c r="AO41" s="109">
        <f t="shared" si="12"/>
        <v>0</v>
      </c>
      <c r="AP41" s="109">
        <f t="shared" si="12"/>
        <v>0</v>
      </c>
      <c r="AQ41" s="109">
        <f t="shared" si="12"/>
        <v>0</v>
      </c>
      <c r="AR41" s="109">
        <f t="shared" si="12"/>
        <v>0</v>
      </c>
      <c r="AS41" s="109">
        <f t="shared" si="12"/>
        <v>0</v>
      </c>
      <c r="AT41" s="109">
        <f t="shared" si="12"/>
        <v>0</v>
      </c>
      <c r="AU41" s="109">
        <f t="shared" si="12"/>
        <v>0</v>
      </c>
      <c r="AV41" s="109">
        <f t="shared" si="12"/>
        <v>0</v>
      </c>
      <c r="AW41" s="109">
        <f t="shared" si="12"/>
        <v>0</v>
      </c>
      <c r="AX41" s="109">
        <f t="shared" si="12"/>
        <v>0</v>
      </c>
      <c r="AY41" s="109">
        <f t="shared" si="12"/>
        <v>0</v>
      </c>
      <c r="AZ41" s="109">
        <f t="shared" si="12"/>
        <v>0</v>
      </c>
      <c r="BA41" s="109">
        <f t="shared" si="12"/>
        <v>0</v>
      </c>
      <c r="BB41" s="109">
        <f t="shared" si="12"/>
        <v>0</v>
      </c>
      <c r="BC41" s="109">
        <f t="shared" si="12"/>
        <v>0</v>
      </c>
      <c r="BD41" s="109">
        <f t="shared" si="12"/>
        <v>0</v>
      </c>
      <c r="BE41" s="109">
        <f t="shared" si="12"/>
        <v>0</v>
      </c>
      <c r="BF41" s="109">
        <f t="shared" si="12"/>
        <v>0</v>
      </c>
      <c r="BG41" s="109">
        <f t="shared" si="12"/>
        <v>0</v>
      </c>
      <c r="BH41" s="109">
        <f t="shared" si="12"/>
        <v>0</v>
      </c>
      <c r="BI41" s="109">
        <f t="shared" si="12"/>
        <v>0</v>
      </c>
      <c r="BJ41" s="109">
        <f t="shared" si="12"/>
        <v>0</v>
      </c>
      <c r="BK41" s="109">
        <f t="shared" si="12"/>
        <v>0</v>
      </c>
      <c r="BL41" s="109">
        <f t="shared" si="12"/>
        <v>0</v>
      </c>
      <c r="BM41" s="109">
        <f t="shared" si="12"/>
        <v>0</v>
      </c>
      <c r="BN41" s="109">
        <f t="shared" si="12"/>
        <v>0</v>
      </c>
      <c r="BO41" s="109">
        <f t="shared" si="12"/>
        <v>0</v>
      </c>
    </row>
    <row r="42" spans="1:67" x14ac:dyDescent="0.4">
      <c r="B42" s="101" t="s">
        <v>140</v>
      </c>
      <c r="C42" s="111">
        <f>SUM(H42:BO42)</f>
        <v>0</v>
      </c>
      <c r="H42" s="111">
        <f>SUM(H40:H41)</f>
        <v>0</v>
      </c>
      <c r="I42" s="111">
        <f t="shared" ref="I42:BO42" si="13">SUM(I40:I41)</f>
        <v>0</v>
      </c>
      <c r="J42" s="111">
        <f t="shared" si="13"/>
        <v>0</v>
      </c>
      <c r="K42" s="111">
        <f t="shared" si="13"/>
        <v>0</v>
      </c>
      <c r="L42" s="111">
        <f t="shared" si="13"/>
        <v>0</v>
      </c>
      <c r="M42" s="111">
        <f t="shared" si="13"/>
        <v>0</v>
      </c>
      <c r="N42" s="111">
        <f t="shared" si="13"/>
        <v>0</v>
      </c>
      <c r="O42" s="111">
        <f t="shared" si="13"/>
        <v>0</v>
      </c>
      <c r="P42" s="111">
        <f t="shared" si="13"/>
        <v>0</v>
      </c>
      <c r="Q42" s="111">
        <f t="shared" si="13"/>
        <v>0</v>
      </c>
      <c r="R42" s="111">
        <f t="shared" si="13"/>
        <v>0</v>
      </c>
      <c r="S42" s="111">
        <f t="shared" si="13"/>
        <v>0</v>
      </c>
      <c r="T42" s="111">
        <f t="shared" si="13"/>
        <v>0</v>
      </c>
      <c r="U42" s="111">
        <f t="shared" si="13"/>
        <v>0</v>
      </c>
      <c r="V42" s="111">
        <f t="shared" si="13"/>
        <v>0</v>
      </c>
      <c r="W42" s="111">
        <f t="shared" si="13"/>
        <v>0</v>
      </c>
      <c r="X42" s="111">
        <f t="shared" si="13"/>
        <v>0</v>
      </c>
      <c r="Y42" s="111">
        <f t="shared" si="13"/>
        <v>0</v>
      </c>
      <c r="Z42" s="111">
        <f t="shared" si="13"/>
        <v>0</v>
      </c>
      <c r="AA42" s="111">
        <f t="shared" si="13"/>
        <v>0</v>
      </c>
      <c r="AB42" s="111">
        <f t="shared" si="13"/>
        <v>0</v>
      </c>
      <c r="AC42" s="111">
        <f t="shared" si="13"/>
        <v>0</v>
      </c>
      <c r="AD42" s="111">
        <f t="shared" si="13"/>
        <v>0</v>
      </c>
      <c r="AE42" s="111">
        <f t="shared" si="13"/>
        <v>0</v>
      </c>
      <c r="AF42" s="111">
        <f t="shared" si="13"/>
        <v>0</v>
      </c>
      <c r="AG42" s="111">
        <f t="shared" si="13"/>
        <v>0</v>
      </c>
      <c r="AH42" s="111">
        <f t="shared" si="13"/>
        <v>0</v>
      </c>
      <c r="AI42" s="111">
        <f t="shared" si="13"/>
        <v>0</v>
      </c>
      <c r="AJ42" s="111">
        <f t="shared" si="13"/>
        <v>0</v>
      </c>
      <c r="AK42" s="111">
        <f t="shared" si="13"/>
        <v>0</v>
      </c>
      <c r="AL42" s="111">
        <f t="shared" si="13"/>
        <v>0</v>
      </c>
      <c r="AM42" s="111">
        <f t="shared" si="13"/>
        <v>0</v>
      </c>
      <c r="AN42" s="111">
        <f t="shared" si="13"/>
        <v>0</v>
      </c>
      <c r="AO42" s="111">
        <f t="shared" si="13"/>
        <v>0</v>
      </c>
      <c r="AP42" s="111">
        <f t="shared" si="13"/>
        <v>0</v>
      </c>
      <c r="AQ42" s="111">
        <f t="shared" si="13"/>
        <v>0</v>
      </c>
      <c r="AR42" s="111">
        <f t="shared" si="13"/>
        <v>0</v>
      </c>
      <c r="AS42" s="111">
        <f t="shared" si="13"/>
        <v>0</v>
      </c>
      <c r="AT42" s="111">
        <f t="shared" si="13"/>
        <v>0</v>
      </c>
      <c r="AU42" s="111">
        <f t="shared" si="13"/>
        <v>0</v>
      </c>
      <c r="AV42" s="111">
        <f t="shared" si="13"/>
        <v>0</v>
      </c>
      <c r="AW42" s="111">
        <f t="shared" si="13"/>
        <v>0</v>
      </c>
      <c r="AX42" s="111">
        <f t="shared" si="13"/>
        <v>0</v>
      </c>
      <c r="AY42" s="111">
        <f t="shared" si="13"/>
        <v>0</v>
      </c>
      <c r="AZ42" s="111">
        <f t="shared" si="13"/>
        <v>0</v>
      </c>
      <c r="BA42" s="111">
        <f t="shared" si="13"/>
        <v>0</v>
      </c>
      <c r="BB42" s="111">
        <f t="shared" si="13"/>
        <v>0</v>
      </c>
      <c r="BC42" s="111">
        <f t="shared" si="13"/>
        <v>0</v>
      </c>
      <c r="BD42" s="111">
        <f t="shared" si="13"/>
        <v>0</v>
      </c>
      <c r="BE42" s="111">
        <f t="shared" si="13"/>
        <v>0</v>
      </c>
      <c r="BF42" s="111">
        <f t="shared" si="13"/>
        <v>0</v>
      </c>
      <c r="BG42" s="111">
        <f t="shared" si="13"/>
        <v>0</v>
      </c>
      <c r="BH42" s="111">
        <f t="shared" si="13"/>
        <v>0</v>
      </c>
      <c r="BI42" s="111">
        <f t="shared" si="13"/>
        <v>0</v>
      </c>
      <c r="BJ42" s="111">
        <f t="shared" si="13"/>
        <v>0</v>
      </c>
      <c r="BK42" s="111">
        <f t="shared" si="13"/>
        <v>0</v>
      </c>
      <c r="BL42" s="111">
        <f t="shared" si="13"/>
        <v>0</v>
      </c>
      <c r="BM42" s="111">
        <f t="shared" si="13"/>
        <v>0</v>
      </c>
      <c r="BN42" s="111">
        <f t="shared" si="13"/>
        <v>0</v>
      </c>
      <c r="BO42" s="111">
        <f t="shared" si="13"/>
        <v>0</v>
      </c>
    </row>
    <row r="44" spans="1:67" ht="15" customHeight="1" x14ac:dyDescent="0.4">
      <c r="A44" s="68"/>
      <c r="B44" s="32" t="s">
        <v>83</v>
      </c>
      <c r="C44" s="32" t="s">
        <v>84</v>
      </c>
      <c r="D44" s="94"/>
      <c r="E44" s="94"/>
      <c r="F44" s="94"/>
      <c r="G44" s="94"/>
      <c r="H44" s="33">
        <v>1</v>
      </c>
      <c r="I44" s="33">
        <v>2</v>
      </c>
      <c r="J44" s="33">
        <v>3</v>
      </c>
      <c r="K44" s="33">
        <v>4</v>
      </c>
      <c r="L44" s="33">
        <v>5</v>
      </c>
      <c r="M44" s="33">
        <v>6</v>
      </c>
      <c r="N44" s="33">
        <v>7</v>
      </c>
      <c r="O44" s="33">
        <v>8</v>
      </c>
      <c r="P44" s="33">
        <v>9</v>
      </c>
      <c r="Q44" s="33">
        <v>10</v>
      </c>
      <c r="R44" s="33">
        <v>11</v>
      </c>
      <c r="S44" s="33">
        <v>12</v>
      </c>
      <c r="T44" s="33">
        <v>13</v>
      </c>
      <c r="U44" s="33">
        <v>14</v>
      </c>
      <c r="V44" s="33">
        <v>15</v>
      </c>
      <c r="W44" s="33">
        <v>16</v>
      </c>
      <c r="X44" s="33">
        <v>17</v>
      </c>
      <c r="Y44" s="33">
        <v>18</v>
      </c>
      <c r="Z44" s="33">
        <v>19</v>
      </c>
      <c r="AA44" s="33">
        <v>20</v>
      </c>
      <c r="AB44" s="33">
        <v>21</v>
      </c>
      <c r="AC44" s="33">
        <v>22</v>
      </c>
      <c r="AD44" s="33">
        <v>23</v>
      </c>
      <c r="AE44" s="33">
        <v>24</v>
      </c>
      <c r="AF44" s="33">
        <v>25</v>
      </c>
      <c r="AG44" s="33">
        <v>26</v>
      </c>
      <c r="AH44" s="33">
        <v>27</v>
      </c>
      <c r="AI44" s="33">
        <v>28</v>
      </c>
      <c r="AJ44" s="33">
        <v>29</v>
      </c>
      <c r="AK44" s="33">
        <v>30</v>
      </c>
      <c r="AL44" s="33">
        <v>31</v>
      </c>
      <c r="AM44" s="33">
        <v>32</v>
      </c>
      <c r="AN44" s="33">
        <v>33</v>
      </c>
      <c r="AO44" s="33">
        <v>34</v>
      </c>
      <c r="AP44" s="33">
        <v>35</v>
      </c>
      <c r="AQ44" s="33">
        <v>36</v>
      </c>
      <c r="AR44" s="33">
        <v>37</v>
      </c>
      <c r="AS44" s="33">
        <v>38</v>
      </c>
      <c r="AT44" s="33">
        <v>39</v>
      </c>
      <c r="AU44" s="33">
        <v>40</v>
      </c>
      <c r="AV44" s="33">
        <v>41</v>
      </c>
      <c r="AW44" s="33">
        <v>42</v>
      </c>
      <c r="AX44" s="33">
        <v>43</v>
      </c>
      <c r="AY44" s="33">
        <v>44</v>
      </c>
      <c r="AZ44" s="33">
        <v>45</v>
      </c>
      <c r="BA44" s="33">
        <v>46</v>
      </c>
      <c r="BB44" s="33">
        <v>47</v>
      </c>
      <c r="BC44" s="33">
        <v>48</v>
      </c>
      <c r="BD44" s="33">
        <v>49</v>
      </c>
      <c r="BE44" s="33">
        <v>50</v>
      </c>
      <c r="BF44" s="33">
        <v>51</v>
      </c>
      <c r="BG44" s="33">
        <v>52</v>
      </c>
      <c r="BH44" s="33">
        <v>53</v>
      </c>
      <c r="BI44" s="33">
        <v>54</v>
      </c>
      <c r="BJ44" s="33">
        <v>55</v>
      </c>
      <c r="BK44" s="33">
        <v>56</v>
      </c>
      <c r="BL44" s="33">
        <v>57</v>
      </c>
      <c r="BM44" s="33">
        <v>58</v>
      </c>
      <c r="BN44" s="33">
        <v>59</v>
      </c>
      <c r="BO44" s="33">
        <v>60</v>
      </c>
    </row>
    <row r="45" spans="1:67" ht="15" customHeight="1" x14ac:dyDescent="0.4">
      <c r="B45" s="38"/>
      <c r="C45" s="38"/>
      <c r="D45" s="94"/>
      <c r="E45" s="94"/>
      <c r="F45" s="94"/>
      <c r="G45" s="94"/>
      <c r="H45" s="39">
        <f ca="1">+EOMONTH(TODAY(),0)</f>
        <v>46142</v>
      </c>
      <c r="I45" s="39">
        <f ca="1">+EOMONTH(H45,1)</f>
        <v>46173</v>
      </c>
      <c r="J45" s="39">
        <f t="shared" ref="J45:BO45" ca="1" si="14">+EOMONTH(I45,1)</f>
        <v>46203</v>
      </c>
      <c r="K45" s="39">
        <f t="shared" ca="1" si="14"/>
        <v>46234</v>
      </c>
      <c r="L45" s="39">
        <f t="shared" ca="1" si="14"/>
        <v>46265</v>
      </c>
      <c r="M45" s="39">
        <f t="shared" ca="1" si="14"/>
        <v>46295</v>
      </c>
      <c r="N45" s="39">
        <f t="shared" ca="1" si="14"/>
        <v>46326</v>
      </c>
      <c r="O45" s="39">
        <f t="shared" ca="1" si="14"/>
        <v>46356</v>
      </c>
      <c r="P45" s="39">
        <f t="shared" ca="1" si="14"/>
        <v>46387</v>
      </c>
      <c r="Q45" s="39">
        <f t="shared" ca="1" si="14"/>
        <v>46418</v>
      </c>
      <c r="R45" s="39">
        <f t="shared" ca="1" si="14"/>
        <v>46446</v>
      </c>
      <c r="S45" s="39">
        <f t="shared" ca="1" si="14"/>
        <v>46477</v>
      </c>
      <c r="T45" s="39">
        <f t="shared" ca="1" si="14"/>
        <v>46507</v>
      </c>
      <c r="U45" s="39">
        <f t="shared" ca="1" si="14"/>
        <v>46538</v>
      </c>
      <c r="V45" s="39">
        <f t="shared" ca="1" si="14"/>
        <v>46568</v>
      </c>
      <c r="W45" s="39">
        <f t="shared" ca="1" si="14"/>
        <v>46599</v>
      </c>
      <c r="X45" s="39">
        <f t="shared" ca="1" si="14"/>
        <v>46630</v>
      </c>
      <c r="Y45" s="39">
        <f t="shared" ca="1" si="14"/>
        <v>46660</v>
      </c>
      <c r="Z45" s="39">
        <f t="shared" ca="1" si="14"/>
        <v>46691</v>
      </c>
      <c r="AA45" s="39">
        <f t="shared" ca="1" si="14"/>
        <v>46721</v>
      </c>
      <c r="AB45" s="39">
        <f t="shared" ca="1" si="14"/>
        <v>46752</v>
      </c>
      <c r="AC45" s="39">
        <f t="shared" ca="1" si="14"/>
        <v>46783</v>
      </c>
      <c r="AD45" s="39">
        <f t="shared" ca="1" si="14"/>
        <v>46812</v>
      </c>
      <c r="AE45" s="39">
        <f t="shared" ca="1" si="14"/>
        <v>46843</v>
      </c>
      <c r="AF45" s="39">
        <f t="shared" ca="1" si="14"/>
        <v>46873</v>
      </c>
      <c r="AG45" s="39">
        <f t="shared" ca="1" si="14"/>
        <v>46904</v>
      </c>
      <c r="AH45" s="39">
        <f t="shared" ca="1" si="14"/>
        <v>46934</v>
      </c>
      <c r="AI45" s="39">
        <f t="shared" ca="1" si="14"/>
        <v>46965</v>
      </c>
      <c r="AJ45" s="39">
        <f t="shared" ca="1" si="14"/>
        <v>46996</v>
      </c>
      <c r="AK45" s="39">
        <f t="shared" ca="1" si="14"/>
        <v>47026</v>
      </c>
      <c r="AL45" s="39">
        <f t="shared" ca="1" si="14"/>
        <v>47057</v>
      </c>
      <c r="AM45" s="39">
        <f t="shared" ca="1" si="14"/>
        <v>47087</v>
      </c>
      <c r="AN45" s="39">
        <f t="shared" ca="1" si="14"/>
        <v>47118</v>
      </c>
      <c r="AO45" s="39">
        <f t="shared" ca="1" si="14"/>
        <v>47149</v>
      </c>
      <c r="AP45" s="39">
        <f t="shared" ca="1" si="14"/>
        <v>47177</v>
      </c>
      <c r="AQ45" s="39">
        <f t="shared" ca="1" si="14"/>
        <v>47208</v>
      </c>
      <c r="AR45" s="39">
        <f t="shared" ca="1" si="14"/>
        <v>47238</v>
      </c>
      <c r="AS45" s="39">
        <f t="shared" ca="1" si="14"/>
        <v>47269</v>
      </c>
      <c r="AT45" s="39">
        <f t="shared" ca="1" si="14"/>
        <v>47299</v>
      </c>
      <c r="AU45" s="39">
        <f t="shared" ca="1" si="14"/>
        <v>47330</v>
      </c>
      <c r="AV45" s="39">
        <f t="shared" ca="1" si="14"/>
        <v>47361</v>
      </c>
      <c r="AW45" s="39">
        <f t="shared" ca="1" si="14"/>
        <v>47391</v>
      </c>
      <c r="AX45" s="39">
        <f t="shared" ca="1" si="14"/>
        <v>47422</v>
      </c>
      <c r="AY45" s="39">
        <f t="shared" ca="1" si="14"/>
        <v>47452</v>
      </c>
      <c r="AZ45" s="39">
        <f t="shared" ca="1" si="14"/>
        <v>47483</v>
      </c>
      <c r="BA45" s="39">
        <f t="shared" ca="1" si="14"/>
        <v>47514</v>
      </c>
      <c r="BB45" s="39">
        <f t="shared" ca="1" si="14"/>
        <v>47542</v>
      </c>
      <c r="BC45" s="39">
        <f t="shared" ca="1" si="14"/>
        <v>47573</v>
      </c>
      <c r="BD45" s="39">
        <f t="shared" ca="1" si="14"/>
        <v>47603</v>
      </c>
      <c r="BE45" s="39">
        <f t="shared" ca="1" si="14"/>
        <v>47634</v>
      </c>
      <c r="BF45" s="39">
        <f t="shared" ca="1" si="14"/>
        <v>47664</v>
      </c>
      <c r="BG45" s="39">
        <f t="shared" ca="1" si="14"/>
        <v>47695</v>
      </c>
      <c r="BH45" s="39">
        <f t="shared" ca="1" si="14"/>
        <v>47726</v>
      </c>
      <c r="BI45" s="39">
        <f t="shared" ca="1" si="14"/>
        <v>47756</v>
      </c>
      <c r="BJ45" s="39">
        <f t="shared" ca="1" si="14"/>
        <v>47787</v>
      </c>
      <c r="BK45" s="39">
        <f t="shared" ca="1" si="14"/>
        <v>47817</v>
      </c>
      <c r="BL45" s="39">
        <f t="shared" ca="1" si="14"/>
        <v>47848</v>
      </c>
      <c r="BM45" s="39">
        <f t="shared" ca="1" si="14"/>
        <v>47879</v>
      </c>
      <c r="BN45" s="39">
        <f t="shared" ca="1" si="14"/>
        <v>47907</v>
      </c>
      <c r="BO45" s="39">
        <f t="shared" ca="1" si="14"/>
        <v>47938</v>
      </c>
    </row>
    <row r="46" spans="1:67" ht="15" customHeight="1" x14ac:dyDescent="0.4">
      <c r="B46" s="4" t="s">
        <v>85</v>
      </c>
      <c r="C46" s="4"/>
      <c r="D46" s="89"/>
      <c r="E46" s="89"/>
      <c r="F46" s="89"/>
      <c r="G46" s="89"/>
    </row>
    <row r="47" spans="1:67" s="85" customFormat="1" ht="15" customHeight="1" x14ac:dyDescent="0.4">
      <c r="B47" s="41"/>
      <c r="C47" s="41"/>
      <c r="D47" s="89"/>
      <c r="E47" s="89"/>
      <c r="F47" s="89"/>
      <c r="G47" s="89"/>
    </row>
    <row r="48" spans="1:67" ht="15" customHeight="1" x14ac:dyDescent="0.4">
      <c r="B48" s="28" t="s">
        <v>86</v>
      </c>
      <c r="C48" s="34">
        <f>SUM(H48:BO48)</f>
        <v>0</v>
      </c>
      <c r="D48" s="95"/>
      <c r="E48" s="95"/>
      <c r="F48" s="95"/>
      <c r="G48" s="95"/>
      <c r="H48" s="34">
        <f>IF(1=1,Inputs!$D$23*(1+Inputs!$D$24),0)</f>
        <v>0</v>
      </c>
      <c r="I48" s="34">
        <f>IF(2=1,Inputs!$D$23*(1+Inputs!$D$24),0)</f>
        <v>0</v>
      </c>
      <c r="J48" s="34">
        <f>IF(3=1,Inputs!$D$23*(1+Inputs!$D$24),0)</f>
        <v>0</v>
      </c>
      <c r="K48" s="34">
        <f>IF(4=1,Inputs!$D$23*(1+Inputs!$D$24),0)</f>
        <v>0</v>
      </c>
      <c r="L48" s="34">
        <f>IF(5=1,Inputs!$D$23*(1+Inputs!$D$24),0)</f>
        <v>0</v>
      </c>
      <c r="M48" s="34">
        <f>IF(6=1,Inputs!$D$23*(1+Inputs!$D$24),0)</f>
        <v>0</v>
      </c>
      <c r="N48" s="34">
        <f>IF(7=1,Inputs!$D$23*(1+Inputs!$D$24),0)</f>
        <v>0</v>
      </c>
      <c r="O48" s="34">
        <f>IF(8=1,Inputs!$D$23*(1+Inputs!$D$24),0)</f>
        <v>0</v>
      </c>
      <c r="P48" s="34">
        <f>IF(9=1,Inputs!$D$23*(1+Inputs!$D$24),0)</f>
        <v>0</v>
      </c>
      <c r="Q48" s="34">
        <f>IF(10=1,Inputs!$D$23*(1+Inputs!$D$24),0)</f>
        <v>0</v>
      </c>
      <c r="R48" s="34">
        <f>IF(11=1,Inputs!$D$23*(1+Inputs!$D$24),0)</f>
        <v>0</v>
      </c>
      <c r="S48" s="34">
        <f>IF(12=1,Inputs!$D$23*(1+Inputs!$D$24),0)</f>
        <v>0</v>
      </c>
      <c r="T48" s="34">
        <f>IF(13=1,Inputs!$D$23*(1+Inputs!$D$24),0)</f>
        <v>0</v>
      </c>
      <c r="U48" s="34">
        <f>IF(14=1,Inputs!$D$23*(1+Inputs!$D$24),0)</f>
        <v>0</v>
      </c>
      <c r="V48" s="34">
        <f>IF(15=1,Inputs!$D$23*(1+Inputs!$D$24),0)</f>
        <v>0</v>
      </c>
      <c r="W48" s="34">
        <f>IF(16=1,Inputs!$D$23*(1+Inputs!$D$24),0)</f>
        <v>0</v>
      </c>
      <c r="X48" s="34">
        <f>IF(17=1,Inputs!$D$23*(1+Inputs!$D$24),0)</f>
        <v>0</v>
      </c>
      <c r="Y48" s="34">
        <f>IF(18=1,Inputs!$D$23*(1+Inputs!$D$24),0)</f>
        <v>0</v>
      </c>
      <c r="Z48" s="34">
        <f>IF(19=1,Inputs!$D$23*(1+Inputs!$D$24),0)</f>
        <v>0</v>
      </c>
      <c r="AA48" s="34">
        <f>IF(20=1,Inputs!$D$23*(1+Inputs!$D$24),0)</f>
        <v>0</v>
      </c>
      <c r="AB48" s="34">
        <f>IF(21=1,Inputs!$D$23*(1+Inputs!$D$24),0)</f>
        <v>0</v>
      </c>
      <c r="AC48" s="34">
        <f>IF(22=1,Inputs!$D$23*(1+Inputs!$D$24),0)</f>
        <v>0</v>
      </c>
      <c r="AD48" s="34">
        <f>IF(23=1,Inputs!$D$23*(1+Inputs!$D$24),0)</f>
        <v>0</v>
      </c>
      <c r="AE48" s="34">
        <f>IF(24=1,Inputs!$D$23*(1+Inputs!$D$24),0)</f>
        <v>0</v>
      </c>
      <c r="AF48" s="34">
        <f>IF(25=1,Inputs!$D$23*(1+Inputs!$D$24),0)</f>
        <v>0</v>
      </c>
      <c r="AG48" s="34">
        <f>IF(26=1,Inputs!$D$23*(1+Inputs!$D$24),0)</f>
        <v>0</v>
      </c>
      <c r="AH48" s="34">
        <f>IF(27=1,Inputs!$D$23*(1+Inputs!$D$24),0)</f>
        <v>0</v>
      </c>
      <c r="AI48" s="34">
        <f>IF(28=1,Inputs!$D$23*(1+Inputs!$D$24),0)</f>
        <v>0</v>
      </c>
      <c r="AJ48" s="34">
        <f>IF(29=1,Inputs!$D$23*(1+Inputs!$D$24),0)</f>
        <v>0</v>
      </c>
      <c r="AK48" s="34">
        <f>IF(30=1,Inputs!$D$23*(1+Inputs!$D$24),0)</f>
        <v>0</v>
      </c>
      <c r="AL48" s="34">
        <f>IF(31=1,Inputs!$D$23*(1+Inputs!$D$24),0)</f>
        <v>0</v>
      </c>
      <c r="AM48" s="34">
        <f>IF(32=1,Inputs!$D$23*(1+Inputs!$D$24),0)</f>
        <v>0</v>
      </c>
      <c r="AN48" s="34">
        <f>IF(33=1,Inputs!$D$23*(1+Inputs!$D$24),0)</f>
        <v>0</v>
      </c>
      <c r="AO48" s="34">
        <f>IF(34=1,Inputs!$D$23*(1+Inputs!$D$24),0)</f>
        <v>0</v>
      </c>
      <c r="AP48" s="34">
        <f>IF(35=1,Inputs!$D$23*(1+Inputs!$D$24),0)</f>
        <v>0</v>
      </c>
      <c r="AQ48" s="34">
        <f>IF(36=1,Inputs!$D$23*(1+Inputs!$D$24),0)</f>
        <v>0</v>
      </c>
      <c r="AR48" s="34">
        <f>IF(37=1,Inputs!$D$23*(1+Inputs!$D$24),0)</f>
        <v>0</v>
      </c>
      <c r="AS48" s="34">
        <f>IF(38=1,Inputs!$D$23*(1+Inputs!$D$24),0)</f>
        <v>0</v>
      </c>
      <c r="AT48" s="34">
        <f>IF(39=1,Inputs!$D$23*(1+Inputs!$D$24),0)</f>
        <v>0</v>
      </c>
      <c r="AU48" s="34">
        <f>IF(40=1,Inputs!$D$23*(1+Inputs!$D$24),0)</f>
        <v>0</v>
      </c>
      <c r="AV48" s="34">
        <f>IF(41=1,Inputs!$D$23*(1+Inputs!$D$24),0)</f>
        <v>0</v>
      </c>
      <c r="AW48" s="34">
        <f>IF(42=1,Inputs!$D$23*(1+Inputs!$D$24),0)</f>
        <v>0</v>
      </c>
      <c r="AX48" s="34">
        <f>IF(43=1,Inputs!$D$23*(1+Inputs!$D$24),0)</f>
        <v>0</v>
      </c>
      <c r="AY48" s="34">
        <f>IF(44=1,Inputs!$D$23*(1+Inputs!$D$24),0)</f>
        <v>0</v>
      </c>
      <c r="AZ48" s="34">
        <f>IF(45=1,Inputs!$D$23*(1+Inputs!$D$24),0)</f>
        <v>0</v>
      </c>
      <c r="BA48" s="34">
        <f>IF(46=1,Inputs!$D$23*(1+Inputs!$D$24),0)</f>
        <v>0</v>
      </c>
      <c r="BB48" s="34">
        <f>IF(47=1,Inputs!$D$23*(1+Inputs!$D$24),0)</f>
        <v>0</v>
      </c>
      <c r="BC48" s="34">
        <f>IF(48=1,Inputs!$D$23*(1+Inputs!$D$24),0)</f>
        <v>0</v>
      </c>
      <c r="BD48" s="34">
        <f>IF(49=1,Inputs!$D$23*(1+Inputs!$D$24),0)</f>
        <v>0</v>
      </c>
      <c r="BE48" s="34">
        <f>IF(50=1,Inputs!$D$23*(1+Inputs!$D$24),0)</f>
        <v>0</v>
      </c>
      <c r="BF48" s="34">
        <f>IF(51=1,Inputs!$D$23*(1+Inputs!$D$24),0)</f>
        <v>0</v>
      </c>
      <c r="BG48" s="34">
        <f>IF(52=1,Inputs!$D$23*(1+Inputs!$D$24),0)</f>
        <v>0</v>
      </c>
      <c r="BH48" s="34">
        <f>IF(53=1,Inputs!$D$23*(1+Inputs!$D$24),0)</f>
        <v>0</v>
      </c>
      <c r="BI48" s="34">
        <f>IF(54=1,Inputs!$D$23*(1+Inputs!$D$24),0)</f>
        <v>0</v>
      </c>
      <c r="BJ48" s="34">
        <f>IF(55=1,Inputs!$D$23*(1+Inputs!$D$24),0)</f>
        <v>0</v>
      </c>
      <c r="BK48" s="34">
        <f>IF(56=1,Inputs!$D$23*(1+Inputs!$D$24),0)</f>
        <v>0</v>
      </c>
      <c r="BL48" s="34">
        <f>IF(57=1,Inputs!$D$23*(1+Inputs!$D$24),0)</f>
        <v>0</v>
      </c>
      <c r="BM48" s="34">
        <f>IF(58=1,Inputs!$D$23*(1+Inputs!$D$24),0)</f>
        <v>0</v>
      </c>
      <c r="BN48" s="34">
        <f>IF(59=1,Inputs!$D$23*(1+Inputs!$D$24),0)</f>
        <v>0</v>
      </c>
      <c r="BO48" s="34">
        <f>IF(60=1,Inputs!$D$23*(1+Inputs!$D$24),0)</f>
        <v>0</v>
      </c>
    </row>
    <row r="49" spans="2:67" ht="15" customHeight="1" x14ac:dyDescent="0.4">
      <c r="B49" s="28" t="s">
        <v>87</v>
      </c>
      <c r="C49" s="34">
        <f>SUM(H49:BO49)</f>
        <v>0</v>
      </c>
      <c r="D49" s="95"/>
      <c r="E49" s="95"/>
      <c r="F49" s="95"/>
      <c r="G49" s="95"/>
      <c r="H49" s="34">
        <f>IF(AND(1&gt;Inputs!$D$65,1&lt;=Inputs!$D$65+Inputs!$D$66,Inputs!$D$66&gt;0),(Inputs!$D$28*Inputs!$C$15+Inputs!$D$29*Inputs!$C$15)*(1+Inputs!$D$30)/Inputs!$D$66,0)</f>
        <v>0</v>
      </c>
      <c r="I49" s="34">
        <f>IF(AND(2&gt;Inputs!$D$65,2&lt;=Inputs!$D$65+Inputs!$D$66,Inputs!$D$66&gt;0),(Inputs!$D$28*Inputs!$C$15+Inputs!$D$29*Inputs!$C$15)*(1+Inputs!$D$30)/Inputs!$D$66,0)</f>
        <v>0</v>
      </c>
      <c r="J49" s="34">
        <f>IF(AND(3&gt;Inputs!$D$65,3&lt;=Inputs!$D$65+Inputs!$D$66,Inputs!$D$66&gt;0),(Inputs!$D$28*Inputs!$C$15+Inputs!$D$29*Inputs!$C$15)*(1+Inputs!$D$30)/Inputs!$D$66,0)</f>
        <v>0</v>
      </c>
      <c r="K49" s="34">
        <f>IF(AND(4&gt;Inputs!$D$65,4&lt;=Inputs!$D$65+Inputs!$D$66,Inputs!$D$66&gt;0),(Inputs!$D$28*Inputs!$C$15+Inputs!$D$29*Inputs!$C$15)*(1+Inputs!$D$30)/Inputs!$D$66,0)</f>
        <v>0</v>
      </c>
      <c r="L49" s="34">
        <f>IF(AND(5&gt;Inputs!$D$65,5&lt;=Inputs!$D$65+Inputs!$D$66,Inputs!$D$66&gt;0),(Inputs!$D$28*Inputs!$C$15+Inputs!$D$29*Inputs!$C$15)*(1+Inputs!$D$30)/Inputs!$D$66,0)</f>
        <v>0</v>
      </c>
      <c r="M49" s="34">
        <f>IF(AND(6&gt;Inputs!$D$65,6&lt;=Inputs!$D$65+Inputs!$D$66,Inputs!$D$66&gt;0),(Inputs!$D$28*Inputs!$C$15+Inputs!$D$29*Inputs!$C$15)*(1+Inputs!$D$30)/Inputs!$D$66,0)</f>
        <v>0</v>
      </c>
      <c r="N49" s="34">
        <f>IF(AND(7&gt;Inputs!$D$65,7&lt;=Inputs!$D$65+Inputs!$D$66,Inputs!$D$66&gt;0),(Inputs!$D$28*Inputs!$C$15+Inputs!$D$29*Inputs!$C$15)*(1+Inputs!$D$30)/Inputs!$D$66,0)</f>
        <v>0</v>
      </c>
      <c r="O49" s="34">
        <f>IF(AND(8&gt;Inputs!$D$65,8&lt;=Inputs!$D$65+Inputs!$D$66,Inputs!$D$66&gt;0),(Inputs!$D$28*Inputs!$C$15+Inputs!$D$29*Inputs!$C$15)*(1+Inputs!$D$30)/Inputs!$D$66,0)</f>
        <v>0</v>
      </c>
      <c r="P49" s="34">
        <f>IF(AND(9&gt;Inputs!$D$65,9&lt;=Inputs!$D$65+Inputs!$D$66,Inputs!$D$66&gt;0),(Inputs!$D$28*Inputs!$C$15+Inputs!$D$29*Inputs!$C$15)*(1+Inputs!$D$30)/Inputs!$D$66,0)</f>
        <v>0</v>
      </c>
      <c r="Q49" s="34">
        <f>IF(AND(10&gt;Inputs!$D$65,10&lt;=Inputs!$D$65+Inputs!$D$66,Inputs!$D$66&gt;0),(Inputs!$D$28*Inputs!$C$15+Inputs!$D$29*Inputs!$C$15)*(1+Inputs!$D$30)/Inputs!$D$66,0)</f>
        <v>0</v>
      </c>
      <c r="R49" s="34">
        <f>IF(AND(11&gt;Inputs!$D$65,11&lt;=Inputs!$D$65+Inputs!$D$66,Inputs!$D$66&gt;0),(Inputs!$D$28*Inputs!$C$15+Inputs!$D$29*Inputs!$C$15)*(1+Inputs!$D$30)/Inputs!$D$66,0)</f>
        <v>0</v>
      </c>
      <c r="S49" s="34">
        <f>IF(AND(12&gt;Inputs!$D$65,12&lt;=Inputs!$D$65+Inputs!$D$66,Inputs!$D$66&gt;0),(Inputs!$D$28*Inputs!$C$15+Inputs!$D$29*Inputs!$C$15)*(1+Inputs!$D$30)/Inputs!$D$66,0)</f>
        <v>0</v>
      </c>
      <c r="T49" s="34">
        <f>IF(AND(13&gt;Inputs!$D$65,13&lt;=Inputs!$D$65+Inputs!$D$66,Inputs!$D$66&gt;0),(Inputs!$D$28*Inputs!$C$15+Inputs!$D$29*Inputs!$C$15)*(1+Inputs!$D$30)/Inputs!$D$66,0)</f>
        <v>0</v>
      </c>
      <c r="U49" s="34">
        <f>IF(AND(14&gt;Inputs!$D$65,14&lt;=Inputs!$D$65+Inputs!$D$66,Inputs!$D$66&gt;0),(Inputs!$D$28*Inputs!$C$15+Inputs!$D$29*Inputs!$C$15)*(1+Inputs!$D$30)/Inputs!$D$66,0)</f>
        <v>0</v>
      </c>
      <c r="V49" s="34">
        <f>IF(AND(15&gt;Inputs!$D$65,15&lt;=Inputs!$D$65+Inputs!$D$66,Inputs!$D$66&gt;0),(Inputs!$D$28*Inputs!$C$15+Inputs!$D$29*Inputs!$C$15)*(1+Inputs!$D$30)/Inputs!$D$66,0)</f>
        <v>0</v>
      </c>
      <c r="W49" s="34">
        <f>IF(AND(16&gt;Inputs!$D$65,16&lt;=Inputs!$D$65+Inputs!$D$66,Inputs!$D$66&gt;0),(Inputs!$D$28*Inputs!$C$15+Inputs!$D$29*Inputs!$C$15)*(1+Inputs!$D$30)/Inputs!$D$66,0)</f>
        <v>0</v>
      </c>
      <c r="X49" s="34">
        <f>IF(AND(17&gt;Inputs!$D$65,17&lt;=Inputs!$D$65+Inputs!$D$66,Inputs!$D$66&gt;0),(Inputs!$D$28*Inputs!$C$15+Inputs!$D$29*Inputs!$C$15)*(1+Inputs!$D$30)/Inputs!$D$66,0)</f>
        <v>0</v>
      </c>
      <c r="Y49" s="34">
        <f>IF(AND(18&gt;Inputs!$D$65,18&lt;=Inputs!$D$65+Inputs!$D$66,Inputs!$D$66&gt;0),(Inputs!$D$28*Inputs!$C$15+Inputs!$D$29*Inputs!$C$15)*(1+Inputs!$D$30)/Inputs!$D$66,0)</f>
        <v>0</v>
      </c>
      <c r="Z49" s="34">
        <f>IF(AND(19&gt;Inputs!$D$65,19&lt;=Inputs!$D$65+Inputs!$D$66,Inputs!$D$66&gt;0),(Inputs!$D$28*Inputs!$C$15+Inputs!$D$29*Inputs!$C$15)*(1+Inputs!$D$30)/Inputs!$D$66,0)</f>
        <v>0</v>
      </c>
      <c r="AA49" s="34">
        <f>IF(AND(20&gt;Inputs!$D$65,20&lt;=Inputs!$D$65+Inputs!$D$66,Inputs!$D$66&gt;0),(Inputs!$D$28*Inputs!$C$15+Inputs!$D$29*Inputs!$C$15)*(1+Inputs!$D$30)/Inputs!$D$66,0)</f>
        <v>0</v>
      </c>
      <c r="AB49" s="34">
        <f>IF(AND(21&gt;Inputs!$D$65,21&lt;=Inputs!$D$65+Inputs!$D$66,Inputs!$D$66&gt;0),(Inputs!$D$28*Inputs!$C$15+Inputs!$D$29*Inputs!$C$15)*(1+Inputs!$D$30)/Inputs!$D$66,0)</f>
        <v>0</v>
      </c>
      <c r="AC49" s="34">
        <f>IF(AND(22&gt;Inputs!$D$65,22&lt;=Inputs!$D$65+Inputs!$D$66,Inputs!$D$66&gt;0),(Inputs!$D$28*Inputs!$C$15+Inputs!$D$29*Inputs!$C$15)*(1+Inputs!$D$30)/Inputs!$D$66,0)</f>
        <v>0</v>
      </c>
      <c r="AD49" s="34">
        <f>IF(AND(23&gt;Inputs!$D$65,23&lt;=Inputs!$D$65+Inputs!$D$66,Inputs!$D$66&gt;0),(Inputs!$D$28*Inputs!$C$15+Inputs!$D$29*Inputs!$C$15)*(1+Inputs!$D$30)/Inputs!$D$66,0)</f>
        <v>0</v>
      </c>
      <c r="AE49" s="34">
        <f>IF(AND(24&gt;Inputs!$D$65,24&lt;=Inputs!$D$65+Inputs!$D$66,Inputs!$D$66&gt;0),(Inputs!$D$28*Inputs!$C$15+Inputs!$D$29*Inputs!$C$15)*(1+Inputs!$D$30)/Inputs!$D$66,0)</f>
        <v>0</v>
      </c>
      <c r="AF49" s="34">
        <f>IF(AND(25&gt;Inputs!$D$65,25&lt;=Inputs!$D$65+Inputs!$D$66,Inputs!$D$66&gt;0),(Inputs!$D$28*Inputs!$C$15+Inputs!$D$29*Inputs!$C$15)*(1+Inputs!$D$30)/Inputs!$D$66,0)</f>
        <v>0</v>
      </c>
      <c r="AG49" s="34">
        <f>IF(AND(26&gt;Inputs!$D$65,26&lt;=Inputs!$D$65+Inputs!$D$66,Inputs!$D$66&gt;0),(Inputs!$D$28*Inputs!$C$15+Inputs!$D$29*Inputs!$C$15)*(1+Inputs!$D$30)/Inputs!$D$66,0)</f>
        <v>0</v>
      </c>
      <c r="AH49" s="34">
        <f>IF(AND(27&gt;Inputs!$D$65,27&lt;=Inputs!$D$65+Inputs!$D$66,Inputs!$D$66&gt;0),(Inputs!$D$28*Inputs!$C$15+Inputs!$D$29*Inputs!$C$15)*(1+Inputs!$D$30)/Inputs!$D$66,0)</f>
        <v>0</v>
      </c>
      <c r="AI49" s="34">
        <f>IF(AND(28&gt;Inputs!$D$65,28&lt;=Inputs!$D$65+Inputs!$D$66,Inputs!$D$66&gt;0),(Inputs!$D$28*Inputs!$C$15+Inputs!$D$29*Inputs!$C$15)*(1+Inputs!$D$30)/Inputs!$D$66,0)</f>
        <v>0</v>
      </c>
      <c r="AJ49" s="34">
        <f>IF(AND(29&gt;Inputs!$D$65,29&lt;=Inputs!$D$65+Inputs!$D$66,Inputs!$D$66&gt;0),(Inputs!$D$28*Inputs!$C$15+Inputs!$D$29*Inputs!$C$15)*(1+Inputs!$D$30)/Inputs!$D$66,0)</f>
        <v>0</v>
      </c>
      <c r="AK49" s="34">
        <f>IF(AND(30&gt;Inputs!$D$65,30&lt;=Inputs!$D$65+Inputs!$D$66,Inputs!$D$66&gt;0),(Inputs!$D$28*Inputs!$C$15+Inputs!$D$29*Inputs!$C$15)*(1+Inputs!$D$30)/Inputs!$D$66,0)</f>
        <v>0</v>
      </c>
      <c r="AL49" s="34">
        <f>IF(AND(31&gt;Inputs!$D$65,31&lt;=Inputs!$D$65+Inputs!$D$66,Inputs!$D$66&gt;0),(Inputs!$D$28*Inputs!$C$15+Inputs!$D$29*Inputs!$C$15)*(1+Inputs!$D$30)/Inputs!$D$66,0)</f>
        <v>0</v>
      </c>
      <c r="AM49" s="34">
        <f>IF(AND(32&gt;Inputs!$D$65,32&lt;=Inputs!$D$65+Inputs!$D$66,Inputs!$D$66&gt;0),(Inputs!$D$28*Inputs!$C$15+Inputs!$D$29*Inputs!$C$15)*(1+Inputs!$D$30)/Inputs!$D$66,0)</f>
        <v>0</v>
      </c>
      <c r="AN49" s="34">
        <f>IF(AND(33&gt;Inputs!$D$65,33&lt;=Inputs!$D$65+Inputs!$D$66,Inputs!$D$66&gt;0),(Inputs!$D$28*Inputs!$C$15+Inputs!$D$29*Inputs!$C$15)*(1+Inputs!$D$30)/Inputs!$D$66,0)</f>
        <v>0</v>
      </c>
      <c r="AO49" s="34">
        <f>IF(AND(34&gt;Inputs!$D$65,34&lt;=Inputs!$D$65+Inputs!$D$66,Inputs!$D$66&gt;0),(Inputs!$D$28*Inputs!$C$15+Inputs!$D$29*Inputs!$C$15)*(1+Inputs!$D$30)/Inputs!$D$66,0)</f>
        <v>0</v>
      </c>
      <c r="AP49" s="34">
        <f>IF(AND(35&gt;Inputs!$D$65,35&lt;=Inputs!$D$65+Inputs!$D$66,Inputs!$D$66&gt;0),(Inputs!$D$28*Inputs!$C$15+Inputs!$D$29*Inputs!$C$15)*(1+Inputs!$D$30)/Inputs!$D$66,0)</f>
        <v>0</v>
      </c>
      <c r="AQ49" s="34">
        <f>IF(AND(36&gt;Inputs!$D$65,36&lt;=Inputs!$D$65+Inputs!$D$66,Inputs!$D$66&gt;0),(Inputs!$D$28*Inputs!$C$15+Inputs!$D$29*Inputs!$C$15)*(1+Inputs!$D$30)/Inputs!$D$66,0)</f>
        <v>0</v>
      </c>
      <c r="AR49" s="34">
        <f>IF(AND(37&gt;Inputs!$D$65,37&lt;=Inputs!$D$65+Inputs!$D$66,Inputs!$D$66&gt;0),(Inputs!$D$28*Inputs!$C$15+Inputs!$D$29*Inputs!$C$15)*(1+Inputs!$D$30)/Inputs!$D$66,0)</f>
        <v>0</v>
      </c>
      <c r="AS49" s="34">
        <f>IF(AND(38&gt;Inputs!$D$65,38&lt;=Inputs!$D$65+Inputs!$D$66,Inputs!$D$66&gt;0),(Inputs!$D$28*Inputs!$C$15+Inputs!$D$29*Inputs!$C$15)*(1+Inputs!$D$30)/Inputs!$D$66,0)</f>
        <v>0</v>
      </c>
      <c r="AT49" s="34">
        <f>IF(AND(39&gt;Inputs!$D$65,39&lt;=Inputs!$D$65+Inputs!$D$66,Inputs!$D$66&gt;0),(Inputs!$D$28*Inputs!$C$15+Inputs!$D$29*Inputs!$C$15)*(1+Inputs!$D$30)/Inputs!$D$66,0)</f>
        <v>0</v>
      </c>
      <c r="AU49" s="34">
        <f>IF(AND(40&gt;Inputs!$D$65,40&lt;=Inputs!$D$65+Inputs!$D$66,Inputs!$D$66&gt;0),(Inputs!$D$28*Inputs!$C$15+Inputs!$D$29*Inputs!$C$15)*(1+Inputs!$D$30)/Inputs!$D$66,0)</f>
        <v>0</v>
      </c>
      <c r="AV49" s="34">
        <f>IF(AND(41&gt;Inputs!$D$65,41&lt;=Inputs!$D$65+Inputs!$D$66,Inputs!$D$66&gt;0),(Inputs!$D$28*Inputs!$C$15+Inputs!$D$29*Inputs!$C$15)*(1+Inputs!$D$30)/Inputs!$D$66,0)</f>
        <v>0</v>
      </c>
      <c r="AW49" s="34">
        <f>IF(AND(42&gt;Inputs!$D$65,42&lt;=Inputs!$D$65+Inputs!$D$66,Inputs!$D$66&gt;0),(Inputs!$D$28*Inputs!$C$15+Inputs!$D$29*Inputs!$C$15)*(1+Inputs!$D$30)/Inputs!$D$66,0)</f>
        <v>0</v>
      </c>
      <c r="AX49" s="34">
        <f>IF(AND(43&gt;Inputs!$D$65,43&lt;=Inputs!$D$65+Inputs!$D$66,Inputs!$D$66&gt;0),(Inputs!$D$28*Inputs!$C$15+Inputs!$D$29*Inputs!$C$15)*(1+Inputs!$D$30)/Inputs!$D$66,0)</f>
        <v>0</v>
      </c>
      <c r="AY49" s="34">
        <f>IF(AND(44&gt;Inputs!$D$65,44&lt;=Inputs!$D$65+Inputs!$D$66,Inputs!$D$66&gt;0),(Inputs!$D$28*Inputs!$C$15+Inputs!$D$29*Inputs!$C$15)*(1+Inputs!$D$30)/Inputs!$D$66,0)</f>
        <v>0</v>
      </c>
      <c r="AZ49" s="34">
        <f>IF(AND(45&gt;Inputs!$D$65,45&lt;=Inputs!$D$65+Inputs!$D$66,Inputs!$D$66&gt;0),(Inputs!$D$28*Inputs!$C$15+Inputs!$D$29*Inputs!$C$15)*(1+Inputs!$D$30)/Inputs!$D$66,0)</f>
        <v>0</v>
      </c>
      <c r="BA49" s="34">
        <f>IF(AND(46&gt;Inputs!$D$65,46&lt;=Inputs!$D$65+Inputs!$D$66,Inputs!$D$66&gt;0),(Inputs!$D$28*Inputs!$C$15+Inputs!$D$29*Inputs!$C$15)*(1+Inputs!$D$30)/Inputs!$D$66,0)</f>
        <v>0</v>
      </c>
      <c r="BB49" s="34">
        <f>IF(AND(47&gt;Inputs!$D$65,47&lt;=Inputs!$D$65+Inputs!$D$66,Inputs!$D$66&gt;0),(Inputs!$D$28*Inputs!$C$15+Inputs!$D$29*Inputs!$C$15)*(1+Inputs!$D$30)/Inputs!$D$66,0)</f>
        <v>0</v>
      </c>
      <c r="BC49" s="34">
        <f>IF(AND(48&gt;Inputs!$D$65,48&lt;=Inputs!$D$65+Inputs!$D$66,Inputs!$D$66&gt;0),(Inputs!$D$28*Inputs!$C$15+Inputs!$D$29*Inputs!$C$15)*(1+Inputs!$D$30)/Inputs!$D$66,0)</f>
        <v>0</v>
      </c>
      <c r="BD49" s="34">
        <f>IF(AND(49&gt;Inputs!$D$65,49&lt;=Inputs!$D$65+Inputs!$D$66,Inputs!$D$66&gt;0),(Inputs!$D$28*Inputs!$C$15+Inputs!$D$29*Inputs!$C$15)*(1+Inputs!$D$30)/Inputs!$D$66,0)</f>
        <v>0</v>
      </c>
      <c r="BE49" s="34">
        <f>IF(AND(50&gt;Inputs!$D$65,50&lt;=Inputs!$D$65+Inputs!$D$66,Inputs!$D$66&gt;0),(Inputs!$D$28*Inputs!$C$15+Inputs!$D$29*Inputs!$C$15)*(1+Inputs!$D$30)/Inputs!$D$66,0)</f>
        <v>0</v>
      </c>
      <c r="BF49" s="34">
        <f>IF(AND(51&gt;Inputs!$D$65,51&lt;=Inputs!$D$65+Inputs!$D$66,Inputs!$D$66&gt;0),(Inputs!$D$28*Inputs!$C$15+Inputs!$D$29*Inputs!$C$15)*(1+Inputs!$D$30)/Inputs!$D$66,0)</f>
        <v>0</v>
      </c>
      <c r="BG49" s="34">
        <f>IF(AND(52&gt;Inputs!$D$65,52&lt;=Inputs!$D$65+Inputs!$D$66,Inputs!$D$66&gt;0),(Inputs!$D$28*Inputs!$C$15+Inputs!$D$29*Inputs!$C$15)*(1+Inputs!$D$30)/Inputs!$D$66,0)</f>
        <v>0</v>
      </c>
      <c r="BH49" s="34">
        <f>IF(AND(53&gt;Inputs!$D$65,53&lt;=Inputs!$D$65+Inputs!$D$66,Inputs!$D$66&gt;0),(Inputs!$D$28*Inputs!$C$15+Inputs!$D$29*Inputs!$C$15)*(1+Inputs!$D$30)/Inputs!$D$66,0)</f>
        <v>0</v>
      </c>
      <c r="BI49" s="34">
        <f>IF(AND(54&gt;Inputs!$D$65,54&lt;=Inputs!$D$65+Inputs!$D$66,Inputs!$D$66&gt;0),(Inputs!$D$28*Inputs!$C$15+Inputs!$D$29*Inputs!$C$15)*(1+Inputs!$D$30)/Inputs!$D$66,0)</f>
        <v>0</v>
      </c>
      <c r="BJ49" s="34">
        <f>IF(AND(55&gt;Inputs!$D$65,55&lt;=Inputs!$D$65+Inputs!$D$66,Inputs!$D$66&gt;0),(Inputs!$D$28*Inputs!$C$15+Inputs!$D$29*Inputs!$C$15)*(1+Inputs!$D$30)/Inputs!$D$66,0)</f>
        <v>0</v>
      </c>
      <c r="BK49" s="34">
        <f>IF(AND(56&gt;Inputs!$D$65,56&lt;=Inputs!$D$65+Inputs!$D$66,Inputs!$D$66&gt;0),(Inputs!$D$28*Inputs!$C$15+Inputs!$D$29*Inputs!$C$15)*(1+Inputs!$D$30)/Inputs!$D$66,0)</f>
        <v>0</v>
      </c>
      <c r="BL49" s="34">
        <f>IF(AND(57&gt;Inputs!$D$65,57&lt;=Inputs!$D$65+Inputs!$D$66,Inputs!$D$66&gt;0),(Inputs!$D$28*Inputs!$C$15+Inputs!$D$29*Inputs!$C$15)*(1+Inputs!$D$30)/Inputs!$D$66,0)</f>
        <v>0</v>
      </c>
      <c r="BM49" s="34">
        <f>IF(AND(58&gt;Inputs!$D$65,58&lt;=Inputs!$D$65+Inputs!$D$66,Inputs!$D$66&gt;0),(Inputs!$D$28*Inputs!$C$15+Inputs!$D$29*Inputs!$C$15)*(1+Inputs!$D$30)/Inputs!$D$66,0)</f>
        <v>0</v>
      </c>
      <c r="BN49" s="34">
        <f>IF(AND(59&gt;Inputs!$D$65,59&lt;=Inputs!$D$65+Inputs!$D$66,Inputs!$D$66&gt;0),(Inputs!$D$28*Inputs!$C$15+Inputs!$D$29*Inputs!$C$15)*(1+Inputs!$D$30)/Inputs!$D$66,0)</f>
        <v>0</v>
      </c>
      <c r="BO49" s="34">
        <f>IF(AND(60&gt;Inputs!$D$65,60&lt;=Inputs!$D$65+Inputs!$D$66,Inputs!$D$66&gt;0),(Inputs!$D$28*Inputs!$C$15+Inputs!$D$29*Inputs!$C$15)*(1+Inputs!$D$30)/Inputs!$D$66,0)</f>
        <v>0</v>
      </c>
    </row>
    <row r="50" spans="2:67" ht="15" customHeight="1" x14ac:dyDescent="0.4">
      <c r="B50" s="28" t="s">
        <v>88</v>
      </c>
      <c r="C50" s="34">
        <f>SUM(H50:BO50)</f>
        <v>0</v>
      </c>
      <c r="D50" s="95"/>
      <c r="E50" s="95"/>
      <c r="F50" s="95"/>
      <c r="G50" s="95"/>
      <c r="H50" s="34">
        <f>IF(AND(1&gt;Inputs!$D$65,1&lt;=Inputs!$D$65+Inputs!$D$66,Inputs!$D$66&gt;0),Inputs!$D$31/Inputs!$D$66,0)</f>
        <v>0</v>
      </c>
      <c r="I50" s="34">
        <f>IF(AND(2&gt;Inputs!$D$65,2&lt;=Inputs!$D$65+Inputs!$D$66,Inputs!$D$66&gt;0),Inputs!$D$31/Inputs!$D$66,0)</f>
        <v>0</v>
      </c>
      <c r="J50" s="34">
        <f>IF(AND(3&gt;Inputs!$D$65,3&lt;=Inputs!$D$65+Inputs!$D$66,Inputs!$D$66&gt;0),Inputs!$D$31/Inputs!$D$66,0)</f>
        <v>0</v>
      </c>
      <c r="K50" s="34">
        <f>IF(AND(4&gt;Inputs!$D$65,4&lt;=Inputs!$D$65+Inputs!$D$66,Inputs!$D$66&gt;0),Inputs!$D$31/Inputs!$D$66,0)</f>
        <v>0</v>
      </c>
      <c r="L50" s="34">
        <f>IF(AND(5&gt;Inputs!$D$65,5&lt;=Inputs!$D$65+Inputs!$D$66,Inputs!$D$66&gt;0),Inputs!$D$31/Inputs!$D$66,0)</f>
        <v>0</v>
      </c>
      <c r="M50" s="34">
        <f>IF(AND(6&gt;Inputs!$D$65,6&lt;=Inputs!$D$65+Inputs!$D$66,Inputs!$D$66&gt;0),Inputs!$D$31/Inputs!$D$66,0)</f>
        <v>0</v>
      </c>
      <c r="N50" s="34">
        <f>IF(AND(7&gt;Inputs!$D$65,7&lt;=Inputs!$D$65+Inputs!$D$66,Inputs!$D$66&gt;0),Inputs!$D$31/Inputs!$D$66,0)</f>
        <v>0</v>
      </c>
      <c r="O50" s="34">
        <f>IF(AND(8&gt;Inputs!$D$65,8&lt;=Inputs!$D$65+Inputs!$D$66,Inputs!$D$66&gt;0),Inputs!$D$31/Inputs!$D$66,0)</f>
        <v>0</v>
      </c>
      <c r="P50" s="34">
        <f>IF(AND(9&gt;Inputs!$D$65,9&lt;=Inputs!$D$65+Inputs!$D$66,Inputs!$D$66&gt;0),Inputs!$D$31/Inputs!$D$66,0)</f>
        <v>0</v>
      </c>
      <c r="Q50" s="34">
        <f>IF(AND(10&gt;Inputs!$D$65,10&lt;=Inputs!$D$65+Inputs!$D$66,Inputs!$D$66&gt;0),Inputs!$D$31/Inputs!$D$66,0)</f>
        <v>0</v>
      </c>
      <c r="R50" s="34">
        <f>IF(AND(11&gt;Inputs!$D$65,11&lt;=Inputs!$D$65+Inputs!$D$66,Inputs!$D$66&gt;0),Inputs!$D$31/Inputs!$D$66,0)</f>
        <v>0</v>
      </c>
      <c r="S50" s="34">
        <f>IF(AND(12&gt;Inputs!$D$65,12&lt;=Inputs!$D$65+Inputs!$D$66,Inputs!$D$66&gt;0),Inputs!$D$31/Inputs!$D$66,0)</f>
        <v>0</v>
      </c>
      <c r="T50" s="34">
        <f>IF(AND(13&gt;Inputs!$D$65,13&lt;=Inputs!$D$65+Inputs!$D$66,Inputs!$D$66&gt;0),Inputs!$D$31/Inputs!$D$66,0)</f>
        <v>0</v>
      </c>
      <c r="U50" s="34">
        <f>IF(AND(14&gt;Inputs!$D$65,14&lt;=Inputs!$D$65+Inputs!$D$66,Inputs!$D$66&gt;0),Inputs!$D$31/Inputs!$D$66,0)</f>
        <v>0</v>
      </c>
      <c r="V50" s="34">
        <f>IF(AND(15&gt;Inputs!$D$65,15&lt;=Inputs!$D$65+Inputs!$D$66,Inputs!$D$66&gt;0),Inputs!$D$31/Inputs!$D$66,0)</f>
        <v>0</v>
      </c>
      <c r="W50" s="34">
        <f>IF(AND(16&gt;Inputs!$D$65,16&lt;=Inputs!$D$65+Inputs!$D$66,Inputs!$D$66&gt;0),Inputs!$D$31/Inputs!$D$66,0)</f>
        <v>0</v>
      </c>
      <c r="X50" s="34">
        <f>IF(AND(17&gt;Inputs!$D$65,17&lt;=Inputs!$D$65+Inputs!$D$66,Inputs!$D$66&gt;0),Inputs!$D$31/Inputs!$D$66,0)</f>
        <v>0</v>
      </c>
      <c r="Y50" s="34">
        <f>IF(AND(18&gt;Inputs!$D$65,18&lt;=Inputs!$D$65+Inputs!$D$66,Inputs!$D$66&gt;0),Inputs!$D$31/Inputs!$D$66,0)</f>
        <v>0</v>
      </c>
      <c r="Z50" s="34">
        <f>IF(AND(19&gt;Inputs!$D$65,19&lt;=Inputs!$D$65+Inputs!$D$66,Inputs!$D$66&gt;0),Inputs!$D$31/Inputs!$D$66,0)</f>
        <v>0</v>
      </c>
      <c r="AA50" s="34">
        <f>IF(AND(20&gt;Inputs!$D$65,20&lt;=Inputs!$D$65+Inputs!$D$66,Inputs!$D$66&gt;0),Inputs!$D$31/Inputs!$D$66,0)</f>
        <v>0</v>
      </c>
      <c r="AB50" s="34">
        <f>IF(AND(21&gt;Inputs!$D$65,21&lt;=Inputs!$D$65+Inputs!$D$66,Inputs!$D$66&gt;0),Inputs!$D$31/Inputs!$D$66,0)</f>
        <v>0</v>
      </c>
      <c r="AC50" s="34">
        <f>IF(AND(22&gt;Inputs!$D$65,22&lt;=Inputs!$D$65+Inputs!$D$66,Inputs!$D$66&gt;0),Inputs!$D$31/Inputs!$D$66,0)</f>
        <v>0</v>
      </c>
      <c r="AD50" s="34">
        <f>IF(AND(23&gt;Inputs!$D$65,23&lt;=Inputs!$D$65+Inputs!$D$66,Inputs!$D$66&gt;0),Inputs!$D$31/Inputs!$D$66,0)</f>
        <v>0</v>
      </c>
      <c r="AE50" s="34">
        <f>IF(AND(24&gt;Inputs!$D$65,24&lt;=Inputs!$D$65+Inputs!$D$66,Inputs!$D$66&gt;0),Inputs!$D$31/Inputs!$D$66,0)</f>
        <v>0</v>
      </c>
      <c r="AF50" s="34">
        <f>IF(AND(25&gt;Inputs!$D$65,25&lt;=Inputs!$D$65+Inputs!$D$66,Inputs!$D$66&gt;0),Inputs!$D$31/Inputs!$D$66,0)</f>
        <v>0</v>
      </c>
      <c r="AG50" s="34">
        <f>IF(AND(26&gt;Inputs!$D$65,26&lt;=Inputs!$D$65+Inputs!$D$66,Inputs!$D$66&gt;0),Inputs!$D$31/Inputs!$D$66,0)</f>
        <v>0</v>
      </c>
      <c r="AH50" s="34">
        <f>IF(AND(27&gt;Inputs!$D$65,27&lt;=Inputs!$D$65+Inputs!$D$66,Inputs!$D$66&gt;0),Inputs!$D$31/Inputs!$D$66,0)</f>
        <v>0</v>
      </c>
      <c r="AI50" s="34">
        <f>IF(AND(28&gt;Inputs!$D$65,28&lt;=Inputs!$D$65+Inputs!$D$66,Inputs!$D$66&gt;0),Inputs!$D$31/Inputs!$D$66,0)</f>
        <v>0</v>
      </c>
      <c r="AJ50" s="34">
        <f>IF(AND(29&gt;Inputs!$D$65,29&lt;=Inputs!$D$65+Inputs!$D$66,Inputs!$D$66&gt;0),Inputs!$D$31/Inputs!$D$66,0)</f>
        <v>0</v>
      </c>
      <c r="AK50" s="34">
        <f>IF(AND(30&gt;Inputs!$D$65,30&lt;=Inputs!$D$65+Inputs!$D$66,Inputs!$D$66&gt;0),Inputs!$D$31/Inputs!$D$66,0)</f>
        <v>0</v>
      </c>
      <c r="AL50" s="34">
        <f>IF(AND(31&gt;Inputs!$D$65,31&lt;=Inputs!$D$65+Inputs!$D$66,Inputs!$D$66&gt;0),Inputs!$D$31/Inputs!$D$66,0)</f>
        <v>0</v>
      </c>
      <c r="AM50" s="34">
        <f>IF(AND(32&gt;Inputs!$D$65,32&lt;=Inputs!$D$65+Inputs!$D$66,Inputs!$D$66&gt;0),Inputs!$D$31/Inputs!$D$66,0)</f>
        <v>0</v>
      </c>
      <c r="AN50" s="34">
        <f>IF(AND(33&gt;Inputs!$D$65,33&lt;=Inputs!$D$65+Inputs!$D$66,Inputs!$D$66&gt;0),Inputs!$D$31/Inputs!$D$66,0)</f>
        <v>0</v>
      </c>
      <c r="AO50" s="34">
        <f>IF(AND(34&gt;Inputs!$D$65,34&lt;=Inputs!$D$65+Inputs!$D$66,Inputs!$D$66&gt;0),Inputs!$D$31/Inputs!$D$66,0)</f>
        <v>0</v>
      </c>
      <c r="AP50" s="34">
        <f>IF(AND(35&gt;Inputs!$D$65,35&lt;=Inputs!$D$65+Inputs!$D$66,Inputs!$D$66&gt;0),Inputs!$D$31/Inputs!$D$66,0)</f>
        <v>0</v>
      </c>
      <c r="AQ50" s="34">
        <f>IF(AND(36&gt;Inputs!$D$65,36&lt;=Inputs!$D$65+Inputs!$D$66,Inputs!$D$66&gt;0),Inputs!$D$31/Inputs!$D$66,0)</f>
        <v>0</v>
      </c>
      <c r="AR50" s="34">
        <f>IF(AND(37&gt;Inputs!$D$65,37&lt;=Inputs!$D$65+Inputs!$D$66,Inputs!$D$66&gt;0),Inputs!$D$31/Inputs!$D$66,0)</f>
        <v>0</v>
      </c>
      <c r="AS50" s="34">
        <f>IF(AND(38&gt;Inputs!$D$65,38&lt;=Inputs!$D$65+Inputs!$D$66,Inputs!$D$66&gt;0),Inputs!$D$31/Inputs!$D$66,0)</f>
        <v>0</v>
      </c>
      <c r="AT50" s="34">
        <f>IF(AND(39&gt;Inputs!$D$65,39&lt;=Inputs!$D$65+Inputs!$D$66,Inputs!$D$66&gt;0),Inputs!$D$31/Inputs!$D$66,0)</f>
        <v>0</v>
      </c>
      <c r="AU50" s="34">
        <f>IF(AND(40&gt;Inputs!$D$65,40&lt;=Inputs!$D$65+Inputs!$D$66,Inputs!$D$66&gt;0),Inputs!$D$31/Inputs!$D$66,0)</f>
        <v>0</v>
      </c>
      <c r="AV50" s="34">
        <f>IF(AND(41&gt;Inputs!$D$65,41&lt;=Inputs!$D$65+Inputs!$D$66,Inputs!$D$66&gt;0),Inputs!$D$31/Inputs!$D$66,0)</f>
        <v>0</v>
      </c>
      <c r="AW50" s="34">
        <f>IF(AND(42&gt;Inputs!$D$65,42&lt;=Inputs!$D$65+Inputs!$D$66,Inputs!$D$66&gt;0),Inputs!$D$31/Inputs!$D$66,0)</f>
        <v>0</v>
      </c>
      <c r="AX50" s="34">
        <f>IF(AND(43&gt;Inputs!$D$65,43&lt;=Inputs!$D$65+Inputs!$D$66,Inputs!$D$66&gt;0),Inputs!$D$31/Inputs!$D$66,0)</f>
        <v>0</v>
      </c>
      <c r="AY50" s="34">
        <f>IF(AND(44&gt;Inputs!$D$65,44&lt;=Inputs!$D$65+Inputs!$D$66,Inputs!$D$66&gt;0),Inputs!$D$31/Inputs!$D$66,0)</f>
        <v>0</v>
      </c>
      <c r="AZ50" s="34">
        <f>IF(AND(45&gt;Inputs!$D$65,45&lt;=Inputs!$D$65+Inputs!$D$66,Inputs!$D$66&gt;0),Inputs!$D$31/Inputs!$D$66,0)</f>
        <v>0</v>
      </c>
      <c r="BA50" s="34">
        <f>IF(AND(46&gt;Inputs!$D$65,46&lt;=Inputs!$D$65+Inputs!$D$66,Inputs!$D$66&gt;0),Inputs!$D$31/Inputs!$D$66,0)</f>
        <v>0</v>
      </c>
      <c r="BB50" s="34">
        <f>IF(AND(47&gt;Inputs!$D$65,47&lt;=Inputs!$D$65+Inputs!$D$66,Inputs!$D$66&gt;0),Inputs!$D$31/Inputs!$D$66,0)</f>
        <v>0</v>
      </c>
      <c r="BC50" s="34">
        <f>IF(AND(48&gt;Inputs!$D$65,48&lt;=Inputs!$D$65+Inputs!$D$66,Inputs!$D$66&gt;0),Inputs!$D$31/Inputs!$D$66,0)</f>
        <v>0</v>
      </c>
      <c r="BD50" s="34">
        <f>IF(AND(49&gt;Inputs!$D$65,49&lt;=Inputs!$D$65+Inputs!$D$66,Inputs!$D$66&gt;0),Inputs!$D$31/Inputs!$D$66,0)</f>
        <v>0</v>
      </c>
      <c r="BE50" s="34">
        <f>IF(AND(50&gt;Inputs!$D$65,50&lt;=Inputs!$D$65+Inputs!$D$66,Inputs!$D$66&gt;0),Inputs!$D$31/Inputs!$D$66,0)</f>
        <v>0</v>
      </c>
      <c r="BF50" s="34">
        <f>IF(AND(51&gt;Inputs!$D$65,51&lt;=Inputs!$D$65+Inputs!$D$66,Inputs!$D$66&gt;0),Inputs!$D$31/Inputs!$D$66,0)</f>
        <v>0</v>
      </c>
      <c r="BG50" s="34">
        <f>IF(AND(52&gt;Inputs!$D$65,52&lt;=Inputs!$D$65+Inputs!$D$66,Inputs!$D$66&gt;0),Inputs!$D$31/Inputs!$D$66,0)</f>
        <v>0</v>
      </c>
      <c r="BH50" s="34">
        <f>IF(AND(53&gt;Inputs!$D$65,53&lt;=Inputs!$D$65+Inputs!$D$66,Inputs!$D$66&gt;0),Inputs!$D$31/Inputs!$D$66,0)</f>
        <v>0</v>
      </c>
      <c r="BI50" s="34">
        <f>IF(AND(54&gt;Inputs!$D$65,54&lt;=Inputs!$D$65+Inputs!$D$66,Inputs!$D$66&gt;0),Inputs!$D$31/Inputs!$D$66,0)</f>
        <v>0</v>
      </c>
      <c r="BJ50" s="34">
        <f>IF(AND(55&gt;Inputs!$D$65,55&lt;=Inputs!$D$65+Inputs!$D$66,Inputs!$D$66&gt;0),Inputs!$D$31/Inputs!$D$66,0)</f>
        <v>0</v>
      </c>
      <c r="BK50" s="34">
        <f>IF(AND(56&gt;Inputs!$D$65,56&lt;=Inputs!$D$65+Inputs!$D$66,Inputs!$D$66&gt;0),Inputs!$D$31/Inputs!$D$66,0)</f>
        <v>0</v>
      </c>
      <c r="BL50" s="34">
        <f>IF(AND(57&gt;Inputs!$D$65,57&lt;=Inputs!$D$65+Inputs!$D$66,Inputs!$D$66&gt;0),Inputs!$D$31/Inputs!$D$66,0)</f>
        <v>0</v>
      </c>
      <c r="BM50" s="34">
        <f>IF(AND(58&gt;Inputs!$D$65,58&lt;=Inputs!$D$65+Inputs!$D$66,Inputs!$D$66&gt;0),Inputs!$D$31/Inputs!$D$66,0)</f>
        <v>0</v>
      </c>
      <c r="BN50" s="34">
        <f>IF(AND(59&gt;Inputs!$D$65,59&lt;=Inputs!$D$65+Inputs!$D$66,Inputs!$D$66&gt;0),Inputs!$D$31/Inputs!$D$66,0)</f>
        <v>0</v>
      </c>
      <c r="BO50" s="34">
        <f>IF(AND(60&gt;Inputs!$D$65,60&lt;=Inputs!$D$65+Inputs!$D$66,Inputs!$D$66&gt;0),Inputs!$D$31/Inputs!$D$66,0)</f>
        <v>0</v>
      </c>
    </row>
    <row r="51" spans="2:67" ht="15" customHeight="1" x14ac:dyDescent="0.4">
      <c r="B51" s="26" t="s">
        <v>89</v>
      </c>
      <c r="C51" s="35">
        <f>SUM(H51:BO51)</f>
        <v>0</v>
      </c>
      <c r="D51" s="83"/>
      <c r="E51" s="83"/>
      <c r="F51" s="83"/>
      <c r="G51" s="83"/>
      <c r="H51" s="36">
        <f t="shared" ref="H51:AM51" si="15">H48+H49+H50</f>
        <v>0</v>
      </c>
      <c r="I51" s="36">
        <f t="shared" si="15"/>
        <v>0</v>
      </c>
      <c r="J51" s="36">
        <f t="shared" si="15"/>
        <v>0</v>
      </c>
      <c r="K51" s="36">
        <f t="shared" si="15"/>
        <v>0</v>
      </c>
      <c r="L51" s="36">
        <f t="shared" si="15"/>
        <v>0</v>
      </c>
      <c r="M51" s="36">
        <f t="shared" si="15"/>
        <v>0</v>
      </c>
      <c r="N51" s="36">
        <f t="shared" si="15"/>
        <v>0</v>
      </c>
      <c r="O51" s="36">
        <f t="shared" si="15"/>
        <v>0</v>
      </c>
      <c r="P51" s="36">
        <f t="shared" si="15"/>
        <v>0</v>
      </c>
      <c r="Q51" s="36">
        <f t="shared" si="15"/>
        <v>0</v>
      </c>
      <c r="R51" s="36">
        <f t="shared" si="15"/>
        <v>0</v>
      </c>
      <c r="S51" s="36">
        <f t="shared" si="15"/>
        <v>0</v>
      </c>
      <c r="T51" s="36">
        <f t="shared" si="15"/>
        <v>0</v>
      </c>
      <c r="U51" s="36">
        <f t="shared" si="15"/>
        <v>0</v>
      </c>
      <c r="V51" s="36">
        <f t="shared" si="15"/>
        <v>0</v>
      </c>
      <c r="W51" s="36">
        <f t="shared" si="15"/>
        <v>0</v>
      </c>
      <c r="X51" s="36">
        <f t="shared" si="15"/>
        <v>0</v>
      </c>
      <c r="Y51" s="36">
        <f t="shared" si="15"/>
        <v>0</v>
      </c>
      <c r="Z51" s="36">
        <f t="shared" si="15"/>
        <v>0</v>
      </c>
      <c r="AA51" s="36">
        <f t="shared" si="15"/>
        <v>0</v>
      </c>
      <c r="AB51" s="36">
        <f t="shared" si="15"/>
        <v>0</v>
      </c>
      <c r="AC51" s="36">
        <f t="shared" si="15"/>
        <v>0</v>
      </c>
      <c r="AD51" s="36">
        <f t="shared" si="15"/>
        <v>0</v>
      </c>
      <c r="AE51" s="36">
        <f t="shared" si="15"/>
        <v>0</v>
      </c>
      <c r="AF51" s="36">
        <f t="shared" si="15"/>
        <v>0</v>
      </c>
      <c r="AG51" s="36">
        <f t="shared" si="15"/>
        <v>0</v>
      </c>
      <c r="AH51" s="36">
        <f t="shared" si="15"/>
        <v>0</v>
      </c>
      <c r="AI51" s="36">
        <f t="shared" si="15"/>
        <v>0</v>
      </c>
      <c r="AJ51" s="36">
        <f t="shared" si="15"/>
        <v>0</v>
      </c>
      <c r="AK51" s="36">
        <f t="shared" si="15"/>
        <v>0</v>
      </c>
      <c r="AL51" s="36">
        <f t="shared" si="15"/>
        <v>0</v>
      </c>
      <c r="AM51" s="36">
        <f t="shared" si="15"/>
        <v>0</v>
      </c>
      <c r="AN51" s="36">
        <f t="shared" ref="AN51:BO51" si="16">AN48+AN49+AN50</f>
        <v>0</v>
      </c>
      <c r="AO51" s="36">
        <f t="shared" si="16"/>
        <v>0</v>
      </c>
      <c r="AP51" s="36">
        <f t="shared" si="16"/>
        <v>0</v>
      </c>
      <c r="AQ51" s="36">
        <f t="shared" si="16"/>
        <v>0</v>
      </c>
      <c r="AR51" s="36">
        <f t="shared" si="16"/>
        <v>0</v>
      </c>
      <c r="AS51" s="36">
        <f t="shared" si="16"/>
        <v>0</v>
      </c>
      <c r="AT51" s="36">
        <f t="shared" si="16"/>
        <v>0</v>
      </c>
      <c r="AU51" s="36">
        <f t="shared" si="16"/>
        <v>0</v>
      </c>
      <c r="AV51" s="36">
        <f t="shared" si="16"/>
        <v>0</v>
      </c>
      <c r="AW51" s="36">
        <f t="shared" si="16"/>
        <v>0</v>
      </c>
      <c r="AX51" s="36">
        <f t="shared" si="16"/>
        <v>0</v>
      </c>
      <c r="AY51" s="36">
        <f t="shared" si="16"/>
        <v>0</v>
      </c>
      <c r="AZ51" s="36">
        <f t="shared" si="16"/>
        <v>0</v>
      </c>
      <c r="BA51" s="36">
        <f t="shared" si="16"/>
        <v>0</v>
      </c>
      <c r="BB51" s="36">
        <f t="shared" si="16"/>
        <v>0</v>
      </c>
      <c r="BC51" s="36">
        <f t="shared" si="16"/>
        <v>0</v>
      </c>
      <c r="BD51" s="36">
        <f t="shared" si="16"/>
        <v>0</v>
      </c>
      <c r="BE51" s="36">
        <f t="shared" si="16"/>
        <v>0</v>
      </c>
      <c r="BF51" s="36">
        <f t="shared" si="16"/>
        <v>0</v>
      </c>
      <c r="BG51" s="36">
        <f t="shared" si="16"/>
        <v>0</v>
      </c>
      <c r="BH51" s="36">
        <f t="shared" si="16"/>
        <v>0</v>
      </c>
      <c r="BI51" s="36">
        <f t="shared" si="16"/>
        <v>0</v>
      </c>
      <c r="BJ51" s="36">
        <f t="shared" si="16"/>
        <v>0</v>
      </c>
      <c r="BK51" s="36">
        <f t="shared" si="16"/>
        <v>0</v>
      </c>
      <c r="BL51" s="36">
        <f t="shared" si="16"/>
        <v>0</v>
      </c>
      <c r="BM51" s="36">
        <f t="shared" si="16"/>
        <v>0</v>
      </c>
      <c r="BN51" s="36">
        <f t="shared" si="16"/>
        <v>0</v>
      </c>
      <c r="BO51" s="36">
        <f t="shared" si="16"/>
        <v>0</v>
      </c>
    </row>
    <row r="53" spans="2:67" x14ac:dyDescent="0.4">
      <c r="B53" s="4" t="s">
        <v>90</v>
      </c>
      <c r="C53" s="4"/>
      <c r="D53" s="89"/>
      <c r="E53" s="89"/>
      <c r="F53" s="89"/>
      <c r="G53" s="89"/>
    </row>
    <row r="54" spans="2:67" s="85" customFormat="1" x14ac:dyDescent="0.4">
      <c r="B54" s="41"/>
      <c r="C54" s="41"/>
      <c r="D54" s="89"/>
      <c r="E54" s="89"/>
      <c r="F54" s="89"/>
      <c r="G54" s="89"/>
    </row>
    <row r="55" spans="2:67" ht="27" x14ac:dyDescent="0.4">
      <c r="B55" s="40" t="s">
        <v>91</v>
      </c>
      <c r="C55" s="35">
        <f>SUM(H55:BO55)</f>
        <v>0</v>
      </c>
      <c r="D55" s="83"/>
      <c r="E55" s="83"/>
      <c r="F55" s="83"/>
      <c r="G55" s="83"/>
      <c r="H55" s="37">
        <f>IF(AND(1&gt;Inputs!$D$65+Inputs!$D$67,1&lt;=Inputs!$D$65+Inputs!$D$66,Inputs!$D$66&gt;Inputs!$D$67),Inputs!$C$18*(Inputs!$D$74+Inputs!$D$75)/MAX(Inputs!$D$66-Inputs!$D$67,1),0)+IF(1=Inputs!$D$65+Inputs!$D$66+Inputs!$D$77,Inputs!$C$18*Inputs!$D$76,0)</f>
        <v>0</v>
      </c>
      <c r="I55" s="37">
        <f>IF(AND(2&gt;Inputs!$D$65+Inputs!$D$67,2&lt;=Inputs!$D$65+Inputs!$D$66,Inputs!$D$66&gt;Inputs!$D$67),Inputs!$C$18*(Inputs!$D$74+Inputs!$D$75)/MAX(Inputs!$D$66-Inputs!$D$67,1),0)+IF(2=Inputs!$D$65+Inputs!$D$66+Inputs!$D$77,Inputs!$C$18*Inputs!$D$76,0)</f>
        <v>0</v>
      </c>
      <c r="J55" s="37">
        <f>IF(AND(3&gt;Inputs!$D$65+Inputs!$D$67,3&lt;=Inputs!$D$65+Inputs!$D$66,Inputs!$D$66&gt;Inputs!$D$67),Inputs!$C$18*(Inputs!$D$74+Inputs!$D$75)/MAX(Inputs!$D$66-Inputs!$D$67,1),0)+IF(3=Inputs!$D$65+Inputs!$D$66+Inputs!$D$77,Inputs!$C$18*Inputs!$D$76,0)</f>
        <v>0</v>
      </c>
      <c r="K55" s="37">
        <f>IF(AND(4&gt;Inputs!$D$65+Inputs!$D$67,4&lt;=Inputs!$D$65+Inputs!$D$66,Inputs!$D$66&gt;Inputs!$D$67),Inputs!$C$18*(Inputs!$D$74+Inputs!$D$75)/MAX(Inputs!$D$66-Inputs!$D$67,1),0)+IF(4=Inputs!$D$65+Inputs!$D$66+Inputs!$D$77,Inputs!$C$18*Inputs!$D$76,0)</f>
        <v>0</v>
      </c>
      <c r="L55" s="37">
        <f>IF(AND(5&gt;Inputs!$D$65+Inputs!$D$67,5&lt;=Inputs!$D$65+Inputs!$D$66,Inputs!$D$66&gt;Inputs!$D$67),Inputs!$C$18*(Inputs!$D$74+Inputs!$D$75)/MAX(Inputs!$D$66-Inputs!$D$67,1),0)+IF(5=Inputs!$D$65+Inputs!$D$66+Inputs!$D$77,Inputs!$C$18*Inputs!$D$76,0)</f>
        <v>0</v>
      </c>
      <c r="M55" s="37">
        <f>IF(AND(6&gt;Inputs!$D$65+Inputs!$D$67,6&lt;=Inputs!$D$65+Inputs!$D$66,Inputs!$D$66&gt;Inputs!$D$67),Inputs!$C$18*(Inputs!$D$74+Inputs!$D$75)/MAX(Inputs!$D$66-Inputs!$D$67,1),0)+IF(6=Inputs!$D$65+Inputs!$D$66+Inputs!$D$77,Inputs!$C$18*Inputs!$D$76,0)</f>
        <v>0</v>
      </c>
      <c r="N55" s="37">
        <f>IF(AND(7&gt;Inputs!$D$65+Inputs!$D$67,7&lt;=Inputs!$D$65+Inputs!$D$66,Inputs!$D$66&gt;Inputs!$D$67),Inputs!$C$18*(Inputs!$D$74+Inputs!$D$75)/MAX(Inputs!$D$66-Inputs!$D$67,1),0)+IF(7=Inputs!$D$65+Inputs!$D$66+Inputs!$D$77,Inputs!$C$18*Inputs!$D$76,0)</f>
        <v>0</v>
      </c>
      <c r="O55" s="37">
        <f>IF(AND(8&gt;Inputs!$D$65+Inputs!$D$67,8&lt;=Inputs!$D$65+Inputs!$D$66,Inputs!$D$66&gt;Inputs!$D$67),Inputs!$C$18*(Inputs!$D$74+Inputs!$D$75)/MAX(Inputs!$D$66-Inputs!$D$67,1),0)+IF(8=Inputs!$D$65+Inputs!$D$66+Inputs!$D$77,Inputs!$C$18*Inputs!$D$76,0)</f>
        <v>0</v>
      </c>
      <c r="P55" s="37">
        <f>IF(AND(9&gt;Inputs!$D$65+Inputs!$D$67,9&lt;=Inputs!$D$65+Inputs!$D$66,Inputs!$D$66&gt;Inputs!$D$67),Inputs!$C$18*(Inputs!$D$74+Inputs!$D$75)/MAX(Inputs!$D$66-Inputs!$D$67,1),0)+IF(9=Inputs!$D$65+Inputs!$D$66+Inputs!$D$77,Inputs!$C$18*Inputs!$D$76,0)</f>
        <v>0</v>
      </c>
      <c r="Q55" s="37">
        <f>IF(AND(10&gt;Inputs!$D$65+Inputs!$D$67,10&lt;=Inputs!$D$65+Inputs!$D$66,Inputs!$D$66&gt;Inputs!$D$67),Inputs!$C$18*(Inputs!$D$74+Inputs!$D$75)/MAX(Inputs!$D$66-Inputs!$D$67,1),0)+IF(10=Inputs!$D$65+Inputs!$D$66+Inputs!$D$77,Inputs!$C$18*Inputs!$D$76,0)</f>
        <v>0</v>
      </c>
      <c r="R55" s="37">
        <f>IF(AND(11&gt;Inputs!$D$65+Inputs!$D$67,11&lt;=Inputs!$D$65+Inputs!$D$66,Inputs!$D$66&gt;Inputs!$D$67),Inputs!$C$18*(Inputs!$D$74+Inputs!$D$75)/MAX(Inputs!$D$66-Inputs!$D$67,1),0)+IF(11=Inputs!$D$65+Inputs!$D$66+Inputs!$D$77,Inputs!$C$18*Inputs!$D$76,0)</f>
        <v>0</v>
      </c>
      <c r="S55" s="37">
        <f>IF(AND(12&gt;Inputs!$D$65+Inputs!$D$67,12&lt;=Inputs!$D$65+Inputs!$D$66,Inputs!$D$66&gt;Inputs!$D$67),Inputs!$C$18*(Inputs!$D$74+Inputs!$D$75)/MAX(Inputs!$D$66-Inputs!$D$67,1),0)+IF(12=Inputs!$D$65+Inputs!$D$66+Inputs!$D$77,Inputs!$C$18*Inputs!$D$76,0)</f>
        <v>0</v>
      </c>
      <c r="T55" s="37">
        <f>IF(AND(13&gt;Inputs!$D$65+Inputs!$D$67,13&lt;=Inputs!$D$65+Inputs!$D$66,Inputs!$D$66&gt;Inputs!$D$67),Inputs!$C$18*(Inputs!$D$74+Inputs!$D$75)/MAX(Inputs!$D$66-Inputs!$D$67,1),0)+IF(13=Inputs!$D$65+Inputs!$D$66+Inputs!$D$77,Inputs!$C$18*Inputs!$D$76,0)</f>
        <v>0</v>
      </c>
      <c r="U55" s="37">
        <f>IF(AND(14&gt;Inputs!$D$65+Inputs!$D$67,14&lt;=Inputs!$D$65+Inputs!$D$66,Inputs!$D$66&gt;Inputs!$D$67),Inputs!$C$18*(Inputs!$D$74+Inputs!$D$75)/MAX(Inputs!$D$66-Inputs!$D$67,1),0)+IF(14=Inputs!$D$65+Inputs!$D$66+Inputs!$D$77,Inputs!$C$18*Inputs!$D$76,0)</f>
        <v>0</v>
      </c>
      <c r="V55" s="37">
        <f>IF(AND(15&gt;Inputs!$D$65+Inputs!$D$67,15&lt;=Inputs!$D$65+Inputs!$D$66,Inputs!$D$66&gt;Inputs!$D$67),Inputs!$C$18*(Inputs!$D$74+Inputs!$D$75)/MAX(Inputs!$D$66-Inputs!$D$67,1),0)+IF(15=Inputs!$D$65+Inputs!$D$66+Inputs!$D$77,Inputs!$C$18*Inputs!$D$76,0)</f>
        <v>0</v>
      </c>
      <c r="W55" s="37">
        <f>IF(AND(16&gt;Inputs!$D$65+Inputs!$D$67,16&lt;=Inputs!$D$65+Inputs!$D$66,Inputs!$D$66&gt;Inputs!$D$67),Inputs!$C$18*(Inputs!$D$74+Inputs!$D$75)/MAX(Inputs!$D$66-Inputs!$D$67,1),0)+IF(16=Inputs!$D$65+Inputs!$D$66+Inputs!$D$77,Inputs!$C$18*Inputs!$D$76,0)</f>
        <v>0</v>
      </c>
      <c r="X55" s="37">
        <f>IF(AND(17&gt;Inputs!$D$65+Inputs!$D$67,17&lt;=Inputs!$D$65+Inputs!$D$66,Inputs!$D$66&gt;Inputs!$D$67),Inputs!$C$18*(Inputs!$D$74+Inputs!$D$75)/MAX(Inputs!$D$66-Inputs!$D$67,1),0)+IF(17=Inputs!$D$65+Inputs!$D$66+Inputs!$D$77,Inputs!$C$18*Inputs!$D$76,0)</f>
        <v>0</v>
      </c>
      <c r="Y55" s="37">
        <f>IF(AND(18&gt;Inputs!$D$65+Inputs!$D$67,18&lt;=Inputs!$D$65+Inputs!$D$66,Inputs!$D$66&gt;Inputs!$D$67),Inputs!$C$18*(Inputs!$D$74+Inputs!$D$75)/MAX(Inputs!$D$66-Inputs!$D$67,1),0)+IF(18=Inputs!$D$65+Inputs!$D$66+Inputs!$D$77,Inputs!$C$18*Inputs!$D$76,0)</f>
        <v>0</v>
      </c>
      <c r="Z55" s="37">
        <f>IF(AND(19&gt;Inputs!$D$65+Inputs!$D$67,19&lt;=Inputs!$D$65+Inputs!$D$66,Inputs!$D$66&gt;Inputs!$D$67),Inputs!$C$18*(Inputs!$D$74+Inputs!$D$75)/MAX(Inputs!$D$66-Inputs!$D$67,1),0)+IF(19=Inputs!$D$65+Inputs!$D$66+Inputs!$D$77,Inputs!$C$18*Inputs!$D$76,0)</f>
        <v>0</v>
      </c>
      <c r="AA55" s="37">
        <f>IF(AND(20&gt;Inputs!$D$65+Inputs!$D$67,20&lt;=Inputs!$D$65+Inputs!$D$66,Inputs!$D$66&gt;Inputs!$D$67),Inputs!$C$18*(Inputs!$D$74+Inputs!$D$75)/MAX(Inputs!$D$66-Inputs!$D$67,1),0)+IF(20=Inputs!$D$65+Inputs!$D$66+Inputs!$D$77,Inputs!$C$18*Inputs!$D$76,0)</f>
        <v>0</v>
      </c>
      <c r="AB55" s="37">
        <f>IF(AND(21&gt;Inputs!$D$65+Inputs!$D$67,21&lt;=Inputs!$D$65+Inputs!$D$66,Inputs!$D$66&gt;Inputs!$D$67),Inputs!$C$18*(Inputs!$D$74+Inputs!$D$75)/MAX(Inputs!$D$66-Inputs!$D$67,1),0)+IF(21=Inputs!$D$65+Inputs!$D$66+Inputs!$D$77,Inputs!$C$18*Inputs!$D$76,0)</f>
        <v>0</v>
      </c>
      <c r="AC55" s="37">
        <f>IF(AND(22&gt;Inputs!$D$65+Inputs!$D$67,22&lt;=Inputs!$D$65+Inputs!$D$66,Inputs!$D$66&gt;Inputs!$D$67),Inputs!$C$18*(Inputs!$D$74+Inputs!$D$75)/MAX(Inputs!$D$66-Inputs!$D$67,1),0)+IF(22=Inputs!$D$65+Inputs!$D$66+Inputs!$D$77,Inputs!$C$18*Inputs!$D$76,0)</f>
        <v>0</v>
      </c>
      <c r="AD55" s="37">
        <f>IF(AND(23&gt;Inputs!$D$65+Inputs!$D$67,23&lt;=Inputs!$D$65+Inputs!$D$66,Inputs!$D$66&gt;Inputs!$D$67),Inputs!$C$18*(Inputs!$D$74+Inputs!$D$75)/MAX(Inputs!$D$66-Inputs!$D$67,1),0)+IF(23=Inputs!$D$65+Inputs!$D$66+Inputs!$D$77,Inputs!$C$18*Inputs!$D$76,0)</f>
        <v>0</v>
      </c>
      <c r="AE55" s="37">
        <f>IF(AND(24&gt;Inputs!$D$65+Inputs!$D$67,24&lt;=Inputs!$D$65+Inputs!$D$66,Inputs!$D$66&gt;Inputs!$D$67),Inputs!$C$18*(Inputs!$D$74+Inputs!$D$75)/MAX(Inputs!$D$66-Inputs!$D$67,1),0)+IF(24=Inputs!$D$65+Inputs!$D$66+Inputs!$D$77,Inputs!$C$18*Inputs!$D$76,0)</f>
        <v>0</v>
      </c>
      <c r="AF55" s="37">
        <f>IF(AND(25&gt;Inputs!$D$65+Inputs!$D$67,25&lt;=Inputs!$D$65+Inputs!$D$66,Inputs!$D$66&gt;Inputs!$D$67),Inputs!$C$18*(Inputs!$D$74+Inputs!$D$75)/MAX(Inputs!$D$66-Inputs!$D$67,1),0)+IF(25=Inputs!$D$65+Inputs!$D$66+Inputs!$D$77,Inputs!$C$18*Inputs!$D$76,0)</f>
        <v>0</v>
      </c>
      <c r="AG55" s="37">
        <f>IF(AND(26&gt;Inputs!$D$65+Inputs!$D$67,26&lt;=Inputs!$D$65+Inputs!$D$66,Inputs!$D$66&gt;Inputs!$D$67),Inputs!$C$18*(Inputs!$D$74+Inputs!$D$75)/MAX(Inputs!$D$66-Inputs!$D$67,1),0)+IF(26=Inputs!$D$65+Inputs!$D$66+Inputs!$D$77,Inputs!$C$18*Inputs!$D$76,0)</f>
        <v>0</v>
      </c>
      <c r="AH55" s="37">
        <f>IF(AND(27&gt;Inputs!$D$65+Inputs!$D$67,27&lt;=Inputs!$D$65+Inputs!$D$66,Inputs!$D$66&gt;Inputs!$D$67),Inputs!$C$18*(Inputs!$D$74+Inputs!$D$75)/MAX(Inputs!$D$66-Inputs!$D$67,1),0)+IF(27=Inputs!$D$65+Inputs!$D$66+Inputs!$D$77,Inputs!$C$18*Inputs!$D$76,0)</f>
        <v>0</v>
      </c>
      <c r="AI55" s="37">
        <f>IF(AND(28&gt;Inputs!$D$65+Inputs!$D$67,28&lt;=Inputs!$D$65+Inputs!$D$66,Inputs!$D$66&gt;Inputs!$D$67),Inputs!$C$18*(Inputs!$D$74+Inputs!$D$75)/MAX(Inputs!$D$66-Inputs!$D$67,1),0)+IF(28=Inputs!$D$65+Inputs!$D$66+Inputs!$D$77,Inputs!$C$18*Inputs!$D$76,0)</f>
        <v>0</v>
      </c>
      <c r="AJ55" s="37">
        <f>IF(AND(29&gt;Inputs!$D$65+Inputs!$D$67,29&lt;=Inputs!$D$65+Inputs!$D$66,Inputs!$D$66&gt;Inputs!$D$67),Inputs!$C$18*(Inputs!$D$74+Inputs!$D$75)/MAX(Inputs!$D$66-Inputs!$D$67,1),0)+IF(29=Inputs!$D$65+Inputs!$D$66+Inputs!$D$77,Inputs!$C$18*Inputs!$D$76,0)</f>
        <v>0</v>
      </c>
      <c r="AK55" s="37">
        <f>IF(AND(30&gt;Inputs!$D$65+Inputs!$D$67,30&lt;=Inputs!$D$65+Inputs!$D$66,Inputs!$D$66&gt;Inputs!$D$67),Inputs!$C$18*(Inputs!$D$74+Inputs!$D$75)/MAX(Inputs!$D$66-Inputs!$D$67,1),0)+IF(30=Inputs!$D$65+Inputs!$D$66+Inputs!$D$77,Inputs!$C$18*Inputs!$D$76,0)</f>
        <v>0</v>
      </c>
      <c r="AL55" s="37">
        <f>IF(AND(31&gt;Inputs!$D$65+Inputs!$D$67,31&lt;=Inputs!$D$65+Inputs!$D$66,Inputs!$D$66&gt;Inputs!$D$67),Inputs!$C$18*(Inputs!$D$74+Inputs!$D$75)/MAX(Inputs!$D$66-Inputs!$D$67,1),0)+IF(31=Inputs!$D$65+Inputs!$D$66+Inputs!$D$77,Inputs!$C$18*Inputs!$D$76,0)</f>
        <v>0</v>
      </c>
      <c r="AM55" s="37">
        <f>IF(AND(32&gt;Inputs!$D$65+Inputs!$D$67,32&lt;=Inputs!$D$65+Inputs!$D$66,Inputs!$D$66&gt;Inputs!$D$67),Inputs!$C$18*(Inputs!$D$74+Inputs!$D$75)/MAX(Inputs!$D$66-Inputs!$D$67,1),0)+IF(32=Inputs!$D$65+Inputs!$D$66+Inputs!$D$77,Inputs!$C$18*Inputs!$D$76,0)</f>
        <v>0</v>
      </c>
      <c r="AN55" s="37">
        <f>IF(AND(33&gt;Inputs!$D$65+Inputs!$D$67,33&lt;=Inputs!$D$65+Inputs!$D$66,Inputs!$D$66&gt;Inputs!$D$67),Inputs!$C$18*(Inputs!$D$74+Inputs!$D$75)/MAX(Inputs!$D$66-Inputs!$D$67,1),0)+IF(33=Inputs!$D$65+Inputs!$D$66+Inputs!$D$77,Inputs!$C$18*Inputs!$D$76,0)</f>
        <v>0</v>
      </c>
      <c r="AO55" s="37">
        <f>IF(AND(34&gt;Inputs!$D$65+Inputs!$D$67,34&lt;=Inputs!$D$65+Inputs!$D$66,Inputs!$D$66&gt;Inputs!$D$67),Inputs!$C$18*(Inputs!$D$74+Inputs!$D$75)/MAX(Inputs!$D$66-Inputs!$D$67,1),0)+IF(34=Inputs!$D$65+Inputs!$D$66+Inputs!$D$77,Inputs!$C$18*Inputs!$D$76,0)</f>
        <v>0</v>
      </c>
      <c r="AP55" s="37">
        <f>IF(AND(35&gt;Inputs!$D$65+Inputs!$D$67,35&lt;=Inputs!$D$65+Inputs!$D$66,Inputs!$D$66&gt;Inputs!$D$67),Inputs!$C$18*(Inputs!$D$74+Inputs!$D$75)/MAX(Inputs!$D$66-Inputs!$D$67,1),0)+IF(35=Inputs!$D$65+Inputs!$D$66+Inputs!$D$77,Inputs!$C$18*Inputs!$D$76,0)</f>
        <v>0</v>
      </c>
      <c r="AQ55" s="37">
        <f>IF(AND(36&gt;Inputs!$D$65+Inputs!$D$67,36&lt;=Inputs!$D$65+Inputs!$D$66,Inputs!$D$66&gt;Inputs!$D$67),Inputs!$C$18*(Inputs!$D$74+Inputs!$D$75)/MAX(Inputs!$D$66-Inputs!$D$67,1),0)+IF(36=Inputs!$D$65+Inputs!$D$66+Inputs!$D$77,Inputs!$C$18*Inputs!$D$76,0)</f>
        <v>0</v>
      </c>
      <c r="AR55" s="37">
        <f>IF(AND(37&gt;Inputs!$D$65+Inputs!$D$67,37&lt;=Inputs!$D$65+Inputs!$D$66,Inputs!$D$66&gt;Inputs!$D$67),Inputs!$C$18*(Inputs!$D$74+Inputs!$D$75)/MAX(Inputs!$D$66-Inputs!$D$67,1),0)+IF(37=Inputs!$D$65+Inputs!$D$66+Inputs!$D$77,Inputs!$C$18*Inputs!$D$76,0)</f>
        <v>0</v>
      </c>
      <c r="AS55" s="37">
        <f>IF(AND(38&gt;Inputs!$D$65+Inputs!$D$67,38&lt;=Inputs!$D$65+Inputs!$D$66,Inputs!$D$66&gt;Inputs!$D$67),Inputs!$C$18*(Inputs!$D$74+Inputs!$D$75)/MAX(Inputs!$D$66-Inputs!$D$67,1),0)+IF(38=Inputs!$D$65+Inputs!$D$66+Inputs!$D$77,Inputs!$C$18*Inputs!$D$76,0)</f>
        <v>0</v>
      </c>
      <c r="AT55" s="37">
        <f>IF(AND(39&gt;Inputs!$D$65+Inputs!$D$67,39&lt;=Inputs!$D$65+Inputs!$D$66,Inputs!$D$66&gt;Inputs!$D$67),Inputs!$C$18*(Inputs!$D$74+Inputs!$D$75)/MAX(Inputs!$D$66-Inputs!$D$67,1),0)+IF(39=Inputs!$D$65+Inputs!$D$66+Inputs!$D$77,Inputs!$C$18*Inputs!$D$76,0)</f>
        <v>0</v>
      </c>
      <c r="AU55" s="37">
        <f>IF(AND(40&gt;Inputs!$D$65+Inputs!$D$67,40&lt;=Inputs!$D$65+Inputs!$D$66,Inputs!$D$66&gt;Inputs!$D$67),Inputs!$C$18*(Inputs!$D$74+Inputs!$D$75)/MAX(Inputs!$D$66-Inputs!$D$67,1),0)+IF(40=Inputs!$D$65+Inputs!$D$66+Inputs!$D$77,Inputs!$C$18*Inputs!$D$76,0)</f>
        <v>0</v>
      </c>
      <c r="AV55" s="37">
        <f>IF(AND(41&gt;Inputs!$D$65+Inputs!$D$67,41&lt;=Inputs!$D$65+Inputs!$D$66,Inputs!$D$66&gt;Inputs!$D$67),Inputs!$C$18*(Inputs!$D$74+Inputs!$D$75)/MAX(Inputs!$D$66-Inputs!$D$67,1),0)+IF(41=Inputs!$D$65+Inputs!$D$66+Inputs!$D$77,Inputs!$C$18*Inputs!$D$76,0)</f>
        <v>0</v>
      </c>
      <c r="AW55" s="37">
        <f>IF(AND(42&gt;Inputs!$D$65+Inputs!$D$67,42&lt;=Inputs!$D$65+Inputs!$D$66,Inputs!$D$66&gt;Inputs!$D$67),Inputs!$C$18*(Inputs!$D$74+Inputs!$D$75)/MAX(Inputs!$D$66-Inputs!$D$67,1),0)+IF(42=Inputs!$D$65+Inputs!$D$66+Inputs!$D$77,Inputs!$C$18*Inputs!$D$76,0)</f>
        <v>0</v>
      </c>
      <c r="AX55" s="37">
        <f>IF(AND(43&gt;Inputs!$D$65+Inputs!$D$67,43&lt;=Inputs!$D$65+Inputs!$D$66,Inputs!$D$66&gt;Inputs!$D$67),Inputs!$C$18*(Inputs!$D$74+Inputs!$D$75)/MAX(Inputs!$D$66-Inputs!$D$67,1),0)+IF(43=Inputs!$D$65+Inputs!$D$66+Inputs!$D$77,Inputs!$C$18*Inputs!$D$76,0)</f>
        <v>0</v>
      </c>
      <c r="AY55" s="37">
        <f>IF(AND(44&gt;Inputs!$D$65+Inputs!$D$67,44&lt;=Inputs!$D$65+Inputs!$D$66,Inputs!$D$66&gt;Inputs!$D$67),Inputs!$C$18*(Inputs!$D$74+Inputs!$D$75)/MAX(Inputs!$D$66-Inputs!$D$67,1),0)+IF(44=Inputs!$D$65+Inputs!$D$66+Inputs!$D$77,Inputs!$C$18*Inputs!$D$76,0)</f>
        <v>0</v>
      </c>
      <c r="AZ55" s="37">
        <f>IF(AND(45&gt;Inputs!$D$65+Inputs!$D$67,45&lt;=Inputs!$D$65+Inputs!$D$66,Inputs!$D$66&gt;Inputs!$D$67),Inputs!$C$18*(Inputs!$D$74+Inputs!$D$75)/MAX(Inputs!$D$66-Inputs!$D$67,1),0)+IF(45=Inputs!$D$65+Inputs!$D$66+Inputs!$D$77,Inputs!$C$18*Inputs!$D$76,0)</f>
        <v>0</v>
      </c>
      <c r="BA55" s="37">
        <f>IF(AND(46&gt;Inputs!$D$65+Inputs!$D$67,46&lt;=Inputs!$D$65+Inputs!$D$66,Inputs!$D$66&gt;Inputs!$D$67),Inputs!$C$18*(Inputs!$D$74+Inputs!$D$75)/MAX(Inputs!$D$66-Inputs!$D$67,1),0)+IF(46=Inputs!$D$65+Inputs!$D$66+Inputs!$D$77,Inputs!$C$18*Inputs!$D$76,0)</f>
        <v>0</v>
      </c>
      <c r="BB55" s="37">
        <f>IF(AND(47&gt;Inputs!$D$65+Inputs!$D$67,47&lt;=Inputs!$D$65+Inputs!$D$66,Inputs!$D$66&gt;Inputs!$D$67),Inputs!$C$18*(Inputs!$D$74+Inputs!$D$75)/MAX(Inputs!$D$66-Inputs!$D$67,1),0)+IF(47=Inputs!$D$65+Inputs!$D$66+Inputs!$D$77,Inputs!$C$18*Inputs!$D$76,0)</f>
        <v>0</v>
      </c>
      <c r="BC55" s="37">
        <f>IF(AND(48&gt;Inputs!$D$65+Inputs!$D$67,48&lt;=Inputs!$D$65+Inputs!$D$66,Inputs!$D$66&gt;Inputs!$D$67),Inputs!$C$18*(Inputs!$D$74+Inputs!$D$75)/MAX(Inputs!$D$66-Inputs!$D$67,1),0)+IF(48=Inputs!$D$65+Inputs!$D$66+Inputs!$D$77,Inputs!$C$18*Inputs!$D$76,0)</f>
        <v>0</v>
      </c>
      <c r="BD55" s="37">
        <f>IF(AND(49&gt;Inputs!$D$65+Inputs!$D$67,49&lt;=Inputs!$D$65+Inputs!$D$66,Inputs!$D$66&gt;Inputs!$D$67),Inputs!$C$18*(Inputs!$D$74+Inputs!$D$75)/MAX(Inputs!$D$66-Inputs!$D$67,1),0)+IF(49=Inputs!$D$65+Inputs!$D$66+Inputs!$D$77,Inputs!$C$18*Inputs!$D$76,0)</f>
        <v>0</v>
      </c>
      <c r="BE55" s="37">
        <f>IF(AND(50&gt;Inputs!$D$65+Inputs!$D$67,50&lt;=Inputs!$D$65+Inputs!$D$66,Inputs!$D$66&gt;Inputs!$D$67),Inputs!$C$18*(Inputs!$D$74+Inputs!$D$75)/MAX(Inputs!$D$66-Inputs!$D$67,1),0)+IF(50=Inputs!$D$65+Inputs!$D$66+Inputs!$D$77,Inputs!$C$18*Inputs!$D$76,0)</f>
        <v>0</v>
      </c>
      <c r="BF55" s="37">
        <f>IF(AND(51&gt;Inputs!$D$65+Inputs!$D$67,51&lt;=Inputs!$D$65+Inputs!$D$66,Inputs!$D$66&gt;Inputs!$D$67),Inputs!$C$18*(Inputs!$D$74+Inputs!$D$75)/MAX(Inputs!$D$66-Inputs!$D$67,1),0)+IF(51=Inputs!$D$65+Inputs!$D$66+Inputs!$D$77,Inputs!$C$18*Inputs!$D$76,0)</f>
        <v>0</v>
      </c>
      <c r="BG55" s="37">
        <f>IF(AND(52&gt;Inputs!$D$65+Inputs!$D$67,52&lt;=Inputs!$D$65+Inputs!$D$66,Inputs!$D$66&gt;Inputs!$D$67),Inputs!$C$18*(Inputs!$D$74+Inputs!$D$75)/MAX(Inputs!$D$66-Inputs!$D$67,1),0)+IF(52=Inputs!$D$65+Inputs!$D$66+Inputs!$D$77,Inputs!$C$18*Inputs!$D$76,0)</f>
        <v>0</v>
      </c>
      <c r="BH55" s="37">
        <f>IF(AND(53&gt;Inputs!$D$65+Inputs!$D$67,53&lt;=Inputs!$D$65+Inputs!$D$66,Inputs!$D$66&gt;Inputs!$D$67),Inputs!$C$18*(Inputs!$D$74+Inputs!$D$75)/MAX(Inputs!$D$66-Inputs!$D$67,1),0)+IF(53=Inputs!$D$65+Inputs!$D$66+Inputs!$D$77,Inputs!$C$18*Inputs!$D$76,0)</f>
        <v>0</v>
      </c>
      <c r="BI55" s="37">
        <f>IF(AND(54&gt;Inputs!$D$65+Inputs!$D$67,54&lt;=Inputs!$D$65+Inputs!$D$66,Inputs!$D$66&gt;Inputs!$D$67),Inputs!$C$18*(Inputs!$D$74+Inputs!$D$75)/MAX(Inputs!$D$66-Inputs!$D$67,1),0)+IF(54=Inputs!$D$65+Inputs!$D$66+Inputs!$D$77,Inputs!$C$18*Inputs!$D$76,0)</f>
        <v>0</v>
      </c>
      <c r="BJ55" s="37">
        <f>IF(AND(55&gt;Inputs!$D$65+Inputs!$D$67,55&lt;=Inputs!$D$65+Inputs!$D$66,Inputs!$D$66&gt;Inputs!$D$67),Inputs!$C$18*(Inputs!$D$74+Inputs!$D$75)/MAX(Inputs!$D$66-Inputs!$D$67,1),0)+IF(55=Inputs!$D$65+Inputs!$D$66+Inputs!$D$77,Inputs!$C$18*Inputs!$D$76,0)</f>
        <v>0</v>
      </c>
      <c r="BK55" s="37">
        <f>IF(AND(56&gt;Inputs!$D$65+Inputs!$D$67,56&lt;=Inputs!$D$65+Inputs!$D$66,Inputs!$D$66&gt;Inputs!$D$67),Inputs!$C$18*(Inputs!$D$74+Inputs!$D$75)/MAX(Inputs!$D$66-Inputs!$D$67,1),0)+IF(56=Inputs!$D$65+Inputs!$D$66+Inputs!$D$77,Inputs!$C$18*Inputs!$D$76,0)</f>
        <v>0</v>
      </c>
      <c r="BL55" s="37">
        <f>IF(AND(57&gt;Inputs!$D$65+Inputs!$D$67,57&lt;=Inputs!$D$65+Inputs!$D$66,Inputs!$D$66&gt;Inputs!$D$67),Inputs!$C$18*(Inputs!$D$74+Inputs!$D$75)/MAX(Inputs!$D$66-Inputs!$D$67,1),0)+IF(57=Inputs!$D$65+Inputs!$D$66+Inputs!$D$77,Inputs!$C$18*Inputs!$D$76,0)</f>
        <v>0</v>
      </c>
      <c r="BM55" s="37">
        <f>IF(AND(58&gt;Inputs!$D$65+Inputs!$D$67,58&lt;=Inputs!$D$65+Inputs!$D$66,Inputs!$D$66&gt;Inputs!$D$67),Inputs!$C$18*(Inputs!$D$74+Inputs!$D$75)/MAX(Inputs!$D$66-Inputs!$D$67,1),0)+IF(58=Inputs!$D$65+Inputs!$D$66+Inputs!$D$77,Inputs!$C$18*Inputs!$D$76,0)</f>
        <v>0</v>
      </c>
      <c r="BN55" s="37">
        <f>IF(AND(59&gt;Inputs!$D$65+Inputs!$D$67,59&lt;=Inputs!$D$65+Inputs!$D$66,Inputs!$D$66&gt;Inputs!$D$67),Inputs!$C$18*(Inputs!$D$74+Inputs!$D$75)/MAX(Inputs!$D$66-Inputs!$D$67,1),0)+IF(59=Inputs!$D$65+Inputs!$D$66+Inputs!$D$77,Inputs!$C$18*Inputs!$D$76,0)</f>
        <v>0</v>
      </c>
      <c r="BO55" s="37">
        <f>IF(AND(60&gt;Inputs!$D$65+Inputs!$D$67,60&lt;=Inputs!$D$65+Inputs!$D$66,Inputs!$D$66&gt;Inputs!$D$67),Inputs!$C$18*(Inputs!$D$74+Inputs!$D$75)/MAX(Inputs!$D$66-Inputs!$D$67,1),0)+IF(60=Inputs!$D$65+Inputs!$D$66+Inputs!$D$77,Inputs!$C$18*Inputs!$D$76,0)</f>
        <v>0</v>
      </c>
    </row>
    <row r="56" spans="2:67" x14ac:dyDescent="0.4">
      <c r="B56" s="40"/>
      <c r="C56" s="35"/>
      <c r="D56" s="83"/>
      <c r="E56" s="83"/>
      <c r="F56" s="83"/>
      <c r="G56" s="83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</row>
    <row r="57" spans="2:67" x14ac:dyDescent="0.4">
      <c r="B57" s="40"/>
      <c r="C57" s="35"/>
      <c r="D57" s="83"/>
      <c r="E57" s="83"/>
      <c r="F57" s="83"/>
      <c r="G57" s="83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</row>
    <row r="58" spans="2:67" x14ac:dyDescent="0.4">
      <c r="B58" s="40"/>
      <c r="C58" s="35"/>
      <c r="D58" s="83"/>
      <c r="E58" s="83"/>
      <c r="F58" s="83"/>
      <c r="G58" s="83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</row>
    <row r="59" spans="2:67" x14ac:dyDescent="0.4">
      <c r="B59" s="40"/>
      <c r="C59" s="35"/>
      <c r="D59" s="83"/>
      <c r="E59" s="83"/>
      <c r="F59" s="83"/>
      <c r="G59" s="83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</row>
    <row r="60" spans="2:67" x14ac:dyDescent="0.4">
      <c r="B60" s="40"/>
      <c r="C60" s="35"/>
      <c r="D60" s="83"/>
      <c r="E60" s="83"/>
      <c r="F60" s="83"/>
      <c r="G60" s="83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</row>
    <row r="61" spans="2:67" x14ac:dyDescent="0.4">
      <c r="B61" s="40"/>
      <c r="C61" s="35"/>
      <c r="D61" s="83"/>
      <c r="E61" s="83"/>
      <c r="F61" s="83"/>
      <c r="G61" s="83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</row>
    <row r="62" spans="2:67" x14ac:dyDescent="0.4">
      <c r="B62" s="40"/>
      <c r="C62" s="35"/>
      <c r="D62" s="83"/>
      <c r="E62" s="83"/>
      <c r="F62" s="83"/>
      <c r="G62" s="83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</row>
    <row r="63" spans="2:67" x14ac:dyDescent="0.4">
      <c r="B63" s="40"/>
      <c r="C63" s="35"/>
      <c r="D63" s="83"/>
      <c r="E63" s="83"/>
      <c r="F63" s="83"/>
      <c r="G63" s="83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</row>
    <row r="64" spans="2:67" x14ac:dyDescent="0.4">
      <c r="B64" s="40"/>
      <c r="C64" s="35"/>
      <c r="D64" s="83"/>
      <c r="E64" s="83"/>
      <c r="F64" s="83"/>
      <c r="G64" s="83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</row>
    <row r="65" spans="2:67" x14ac:dyDescent="0.4">
      <c r="B65" s="40"/>
      <c r="C65" s="35"/>
      <c r="D65" s="83"/>
      <c r="E65" s="83"/>
      <c r="F65" s="83"/>
      <c r="G65" s="83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</row>
    <row r="66" spans="2:67" x14ac:dyDescent="0.4">
      <c r="B66" s="40"/>
      <c r="C66" s="81" t="s">
        <v>118</v>
      </c>
      <c r="D66" s="83"/>
      <c r="E66" s="83"/>
      <c r="F66" s="83"/>
      <c r="G66" s="83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</row>
    <row r="67" spans="2:67" x14ac:dyDescent="0.4">
      <c r="B67" s="86" t="s">
        <v>116</v>
      </c>
      <c r="C67" s="79"/>
      <c r="D67" s="83"/>
      <c r="E67" s="83"/>
      <c r="F67" s="83"/>
      <c r="G67" s="83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</row>
    <row r="68" spans="2:67" x14ac:dyDescent="0.4">
      <c r="B68" s="80" t="s">
        <v>117</v>
      </c>
      <c r="C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</row>
    <row r="69" spans="2:67" ht="15" customHeight="1" x14ac:dyDescent="0.4">
      <c r="B69" s="4" t="s">
        <v>92</v>
      </c>
      <c r="C69" s="4"/>
      <c r="D69" s="89"/>
      <c r="E69" s="89"/>
      <c r="F69" s="89"/>
      <c r="G69" s="89"/>
    </row>
    <row r="70" spans="2:67" s="85" customFormat="1" ht="15" customHeight="1" x14ac:dyDescent="0.4">
      <c r="B70" s="41"/>
      <c r="C70" s="41"/>
      <c r="D70" s="89"/>
      <c r="E70" s="89"/>
      <c r="F70" s="89"/>
      <c r="G70" s="89"/>
    </row>
    <row r="71" spans="2:67" s="85" customFormat="1" ht="15" customHeight="1" x14ac:dyDescent="0.4">
      <c r="B71" s="41"/>
      <c r="C71" s="41"/>
      <c r="D71" s="89"/>
      <c r="E71" s="89"/>
      <c r="F71" s="89"/>
      <c r="G71" s="89"/>
    </row>
    <row r="72" spans="2:67" ht="15" customHeight="1" x14ac:dyDescent="0.4">
      <c r="B72" s="28" t="s">
        <v>93</v>
      </c>
      <c r="C72" s="34">
        <f>SUM(H72:BO72)</f>
        <v>0</v>
      </c>
      <c r="D72" s="95"/>
      <c r="E72" s="95"/>
      <c r="F72" s="95"/>
      <c r="G72" s="95"/>
      <c r="H72" s="34">
        <f>IF(1=1,Inputs!$D$55*Inputs!$D$58,0)</f>
        <v>0</v>
      </c>
      <c r="I72" s="34">
        <f>IF(2=1,Inputs!$D$55*Inputs!$D$58,0)</f>
        <v>0</v>
      </c>
      <c r="J72" s="34">
        <f>IF(3=1,Inputs!$D$55*Inputs!$D$58,0)</f>
        <v>0</v>
      </c>
      <c r="K72" s="34">
        <f>IF(4=1,Inputs!$D$55*Inputs!$D$58,0)</f>
        <v>0</v>
      </c>
      <c r="L72" s="34">
        <f>IF(5=1,Inputs!$D$55*Inputs!$D$58,0)</f>
        <v>0</v>
      </c>
      <c r="M72" s="34">
        <f>IF(6=1,Inputs!$D$55*Inputs!$D$58,0)</f>
        <v>0</v>
      </c>
      <c r="N72" s="34">
        <f>IF(7=1,Inputs!$D$55*Inputs!$D$58,0)</f>
        <v>0</v>
      </c>
      <c r="O72" s="34">
        <f>IF(8=1,Inputs!$D$55*Inputs!$D$58,0)</f>
        <v>0</v>
      </c>
      <c r="P72" s="34">
        <f>IF(9=1,Inputs!$D$55*Inputs!$D$58,0)</f>
        <v>0</v>
      </c>
      <c r="Q72" s="34">
        <f>IF(10=1,Inputs!$D$55*Inputs!$D$58,0)</f>
        <v>0</v>
      </c>
      <c r="R72" s="34">
        <f>IF(11=1,Inputs!$D$55*Inputs!$D$58,0)</f>
        <v>0</v>
      </c>
      <c r="S72" s="34">
        <f>IF(12=1,Inputs!$D$55*Inputs!$D$58,0)</f>
        <v>0</v>
      </c>
      <c r="T72" s="34">
        <f>IF(13=1,Inputs!$D$55*Inputs!$D$58,0)</f>
        <v>0</v>
      </c>
      <c r="U72" s="34">
        <f>IF(14=1,Inputs!$D$55*Inputs!$D$58,0)</f>
        <v>0</v>
      </c>
      <c r="V72" s="34">
        <f>IF(15=1,Inputs!$D$55*Inputs!$D$58,0)</f>
        <v>0</v>
      </c>
      <c r="W72" s="34">
        <f>IF(16=1,Inputs!$D$55*Inputs!$D$58,0)</f>
        <v>0</v>
      </c>
      <c r="X72" s="34">
        <f>IF(17=1,Inputs!$D$55*Inputs!$D$58,0)</f>
        <v>0</v>
      </c>
      <c r="Y72" s="34">
        <f>IF(18=1,Inputs!$D$55*Inputs!$D$58,0)</f>
        <v>0</v>
      </c>
      <c r="Z72" s="34">
        <f>IF(19=1,Inputs!$D$55*Inputs!$D$58,0)</f>
        <v>0</v>
      </c>
      <c r="AA72" s="34">
        <f>IF(20=1,Inputs!$D$55*Inputs!$D$58,0)</f>
        <v>0</v>
      </c>
      <c r="AB72" s="34">
        <f>IF(21=1,Inputs!$D$55*Inputs!$D$58,0)</f>
        <v>0</v>
      </c>
      <c r="AC72" s="34">
        <f>IF(22=1,Inputs!$D$55*Inputs!$D$58,0)</f>
        <v>0</v>
      </c>
      <c r="AD72" s="34">
        <f>IF(23=1,Inputs!$D$55*Inputs!$D$58,0)</f>
        <v>0</v>
      </c>
      <c r="AE72" s="34">
        <f>IF(24=1,Inputs!$D$55*Inputs!$D$58,0)</f>
        <v>0</v>
      </c>
      <c r="AF72" s="34">
        <f>IF(25=1,Inputs!$D$55*Inputs!$D$58,0)</f>
        <v>0</v>
      </c>
      <c r="AG72" s="34">
        <f>IF(26=1,Inputs!$D$55*Inputs!$D$58,0)</f>
        <v>0</v>
      </c>
      <c r="AH72" s="34">
        <f>IF(27=1,Inputs!$D$55*Inputs!$D$58,0)</f>
        <v>0</v>
      </c>
      <c r="AI72" s="34">
        <f>IF(28=1,Inputs!$D$55*Inputs!$D$58,0)</f>
        <v>0</v>
      </c>
      <c r="AJ72" s="34">
        <f>IF(29=1,Inputs!$D$55*Inputs!$D$58,0)</f>
        <v>0</v>
      </c>
      <c r="AK72" s="34">
        <f>IF(30=1,Inputs!$D$55*Inputs!$D$58,0)</f>
        <v>0</v>
      </c>
      <c r="AL72" s="34">
        <f>IF(31=1,Inputs!$D$55*Inputs!$D$58,0)</f>
        <v>0</v>
      </c>
      <c r="AM72" s="34">
        <f>IF(32=1,Inputs!$D$55*Inputs!$D$58,0)</f>
        <v>0</v>
      </c>
      <c r="AN72" s="34">
        <f>IF(33=1,Inputs!$D$55*Inputs!$D$58,0)</f>
        <v>0</v>
      </c>
      <c r="AO72" s="34">
        <f>IF(34=1,Inputs!$D$55*Inputs!$D$58,0)</f>
        <v>0</v>
      </c>
      <c r="AP72" s="34">
        <f>IF(35=1,Inputs!$D$55*Inputs!$D$58,0)</f>
        <v>0</v>
      </c>
      <c r="AQ72" s="34">
        <f>IF(36=1,Inputs!$D$55*Inputs!$D$58,0)</f>
        <v>0</v>
      </c>
      <c r="AR72" s="34">
        <f>IF(37=1,Inputs!$D$55*Inputs!$D$58,0)</f>
        <v>0</v>
      </c>
      <c r="AS72" s="34">
        <f>IF(38=1,Inputs!$D$55*Inputs!$D$58,0)</f>
        <v>0</v>
      </c>
      <c r="AT72" s="34">
        <f>IF(39=1,Inputs!$D$55*Inputs!$D$58,0)</f>
        <v>0</v>
      </c>
      <c r="AU72" s="34">
        <f>IF(40=1,Inputs!$D$55*Inputs!$D$58,0)</f>
        <v>0</v>
      </c>
      <c r="AV72" s="34">
        <f>IF(41=1,Inputs!$D$55*Inputs!$D$58,0)</f>
        <v>0</v>
      </c>
      <c r="AW72" s="34">
        <f>IF(42=1,Inputs!$D$55*Inputs!$D$58,0)</f>
        <v>0</v>
      </c>
      <c r="AX72" s="34">
        <f>IF(43=1,Inputs!$D$55*Inputs!$D$58,0)</f>
        <v>0</v>
      </c>
      <c r="AY72" s="34">
        <f>IF(44=1,Inputs!$D$55*Inputs!$D$58,0)</f>
        <v>0</v>
      </c>
      <c r="AZ72" s="34">
        <f>IF(45=1,Inputs!$D$55*Inputs!$D$58,0)</f>
        <v>0</v>
      </c>
      <c r="BA72" s="34">
        <f>IF(46=1,Inputs!$D$55*Inputs!$D$58,0)</f>
        <v>0</v>
      </c>
      <c r="BB72" s="34">
        <f>IF(47=1,Inputs!$D$55*Inputs!$D$58,0)</f>
        <v>0</v>
      </c>
      <c r="BC72" s="34">
        <f>IF(48=1,Inputs!$D$55*Inputs!$D$58,0)</f>
        <v>0</v>
      </c>
      <c r="BD72" s="34">
        <f>IF(49=1,Inputs!$D$55*Inputs!$D$58,0)</f>
        <v>0</v>
      </c>
      <c r="BE72" s="34">
        <f>IF(50=1,Inputs!$D$55*Inputs!$D$58,0)</f>
        <v>0</v>
      </c>
      <c r="BF72" s="34">
        <f>IF(51=1,Inputs!$D$55*Inputs!$D$58,0)</f>
        <v>0</v>
      </c>
      <c r="BG72" s="34">
        <f>IF(52=1,Inputs!$D$55*Inputs!$D$58,0)</f>
        <v>0</v>
      </c>
      <c r="BH72" s="34">
        <f>IF(53=1,Inputs!$D$55*Inputs!$D$58,0)</f>
        <v>0</v>
      </c>
      <c r="BI72" s="34">
        <f>IF(54=1,Inputs!$D$55*Inputs!$D$58,0)</f>
        <v>0</v>
      </c>
      <c r="BJ72" s="34">
        <f>IF(55=1,Inputs!$D$55*Inputs!$D$58,0)</f>
        <v>0</v>
      </c>
      <c r="BK72" s="34">
        <f>IF(56=1,Inputs!$D$55*Inputs!$D$58,0)</f>
        <v>0</v>
      </c>
      <c r="BL72" s="34">
        <f>IF(57=1,Inputs!$D$55*Inputs!$D$58,0)</f>
        <v>0</v>
      </c>
      <c r="BM72" s="34">
        <f>IF(58=1,Inputs!$D$55*Inputs!$D$58,0)</f>
        <v>0</v>
      </c>
      <c r="BN72" s="34">
        <f>IF(59=1,Inputs!$D$55*Inputs!$D$58,0)</f>
        <v>0</v>
      </c>
      <c r="BO72" s="34">
        <f>IF(60=1,Inputs!$D$55*Inputs!$D$58,0)</f>
        <v>0</v>
      </c>
    </row>
    <row r="73" spans="2:67" ht="15" customHeight="1" x14ac:dyDescent="0.4">
      <c r="B73" s="26" t="s">
        <v>94</v>
      </c>
      <c r="C73" s="35">
        <f>SUM(H73:BO73)</f>
        <v>0</v>
      </c>
      <c r="D73" s="83"/>
      <c r="E73" s="83"/>
      <c r="F73" s="83"/>
      <c r="G73" s="83"/>
      <c r="H73" s="35">
        <f>IFERROR(H51*MIN(1,Inputs!$D$55/C51),0)</f>
        <v>0</v>
      </c>
      <c r="I73" s="35">
        <f>IFERROR(I51*MIN(1,Inputs!$D$55/C51),0)</f>
        <v>0</v>
      </c>
      <c r="J73" s="35">
        <f>IFERROR(J51*MIN(1,Inputs!$D$55/C51),0)</f>
        <v>0</v>
      </c>
      <c r="K73" s="35">
        <f>IFERROR(K51*MIN(1,Inputs!$D$55/C51),0)</f>
        <v>0</v>
      </c>
      <c r="L73" s="35">
        <f>IFERROR(L51*MIN(1,Inputs!$D$55/C51),0)</f>
        <v>0</v>
      </c>
      <c r="M73" s="35">
        <f>IFERROR(M51*MIN(1,Inputs!$D$55/C51),0)</f>
        <v>0</v>
      </c>
      <c r="N73" s="35">
        <f>IFERROR(N51*MIN(1,Inputs!$D$55/C51),0)</f>
        <v>0</v>
      </c>
      <c r="O73" s="35">
        <f>IFERROR(O51*MIN(1,Inputs!$D$55/C51),0)</f>
        <v>0</v>
      </c>
      <c r="P73" s="35">
        <f>IFERROR(P51*MIN(1,Inputs!$D$55/C51),0)</f>
        <v>0</v>
      </c>
      <c r="Q73" s="35">
        <f>IFERROR(Q51*MIN(1,Inputs!$D$55/C51),0)</f>
        <v>0</v>
      </c>
      <c r="R73" s="35">
        <f>IFERROR(R51*MIN(1,Inputs!$D$55/C51),0)</f>
        <v>0</v>
      </c>
      <c r="S73" s="35">
        <f>IFERROR(S51*MIN(1,Inputs!$D$55/C51),0)</f>
        <v>0</v>
      </c>
      <c r="T73" s="35">
        <f>IFERROR(T51*MIN(1,Inputs!$D$55/C51),0)</f>
        <v>0</v>
      </c>
      <c r="U73" s="35">
        <f>IFERROR(U51*MIN(1,Inputs!$D$55/C51),0)</f>
        <v>0</v>
      </c>
      <c r="V73" s="35">
        <f>IFERROR(V51*MIN(1,Inputs!$D$55/C51),0)</f>
        <v>0</v>
      </c>
      <c r="W73" s="35">
        <f>IFERROR(W51*MIN(1,Inputs!$D$55/C51),0)</f>
        <v>0</v>
      </c>
      <c r="X73" s="35">
        <f>IFERROR(X51*MIN(1,Inputs!$D$55/C51),0)</f>
        <v>0</v>
      </c>
      <c r="Y73" s="35">
        <f>IFERROR(Y51*MIN(1,Inputs!$D$55/C51),0)</f>
        <v>0</v>
      </c>
      <c r="Z73" s="35">
        <f>IFERROR(Z51*MIN(1,Inputs!$D$55/C51),0)</f>
        <v>0</v>
      </c>
      <c r="AA73" s="35">
        <f>IFERROR(AA51*MIN(1,Inputs!$D$55/C51),0)</f>
        <v>0</v>
      </c>
      <c r="AB73" s="35">
        <f>IFERROR(AB51*MIN(1,Inputs!$D$55/C51),0)</f>
        <v>0</v>
      </c>
      <c r="AC73" s="35">
        <f>IFERROR(AC51*MIN(1,Inputs!$D$55/C51),0)</f>
        <v>0</v>
      </c>
      <c r="AD73" s="35">
        <f>IFERROR(AD51*MIN(1,Inputs!$D$55/C51),0)</f>
        <v>0</v>
      </c>
      <c r="AE73" s="35">
        <f>IFERROR(AE51*MIN(1,Inputs!$D$55/C51),0)</f>
        <v>0</v>
      </c>
      <c r="AF73" s="35">
        <f>IFERROR(AF51*MIN(1,Inputs!$D$55/C51),0)</f>
        <v>0</v>
      </c>
      <c r="AG73" s="35">
        <f>IFERROR(AG51*MIN(1,Inputs!$D$55/C51),0)</f>
        <v>0</v>
      </c>
      <c r="AH73" s="35">
        <f>IFERROR(AH51*MIN(1,Inputs!$D$55/C51),0)</f>
        <v>0</v>
      </c>
      <c r="AI73" s="35">
        <f>IFERROR(AI51*MIN(1,Inputs!$D$55/C51),0)</f>
        <v>0</v>
      </c>
      <c r="AJ73" s="35">
        <f>IFERROR(AJ51*MIN(1,Inputs!$D$55/C51),0)</f>
        <v>0</v>
      </c>
      <c r="AK73" s="35">
        <f>IFERROR(AK51*MIN(1,Inputs!$D$55/C51),0)</f>
        <v>0</v>
      </c>
      <c r="AL73" s="35">
        <f>IFERROR(AL51*MIN(1,Inputs!$D$55/C51),0)</f>
        <v>0</v>
      </c>
      <c r="AM73" s="35">
        <f>IFERROR(AM51*MIN(1,Inputs!$D$55/C51),0)</f>
        <v>0</v>
      </c>
      <c r="AN73" s="35">
        <f>IFERROR(AN51*MIN(1,Inputs!$D$55/C51),0)</f>
        <v>0</v>
      </c>
      <c r="AO73" s="35">
        <f>IFERROR(AO51*MIN(1,Inputs!$D$55/C51),0)</f>
        <v>0</v>
      </c>
      <c r="AP73" s="35">
        <f>IFERROR(AP51*MIN(1,Inputs!$D$55/C51),0)</f>
        <v>0</v>
      </c>
      <c r="AQ73" s="35">
        <f>IFERROR(AQ51*MIN(1,Inputs!$D$55/C51),0)</f>
        <v>0</v>
      </c>
      <c r="AR73" s="35">
        <f>IFERROR(AR51*MIN(1,Inputs!$D$55/C51),0)</f>
        <v>0</v>
      </c>
      <c r="AS73" s="35">
        <f>IFERROR(AS51*MIN(1,Inputs!$D$55/C51),0)</f>
        <v>0</v>
      </c>
      <c r="AT73" s="35">
        <f>IFERROR(AT51*MIN(1,Inputs!$D$55/C51),0)</f>
        <v>0</v>
      </c>
      <c r="AU73" s="35">
        <f>IFERROR(AU51*MIN(1,Inputs!$D$55/C51),0)</f>
        <v>0</v>
      </c>
      <c r="AV73" s="35">
        <f>IFERROR(AV51*MIN(1,Inputs!$D$55/C51),0)</f>
        <v>0</v>
      </c>
      <c r="AW73" s="35">
        <f>IFERROR(AW51*MIN(1,Inputs!$D$55/C51),0)</f>
        <v>0</v>
      </c>
      <c r="AX73" s="35">
        <f>IFERROR(AX51*MIN(1,Inputs!$D$55/C51),0)</f>
        <v>0</v>
      </c>
      <c r="AY73" s="35">
        <f>IFERROR(AY51*MIN(1,Inputs!$D$55/C51),0)</f>
        <v>0</v>
      </c>
      <c r="AZ73" s="35">
        <f>IFERROR(AZ51*MIN(1,Inputs!$D$55/C51),0)</f>
        <v>0</v>
      </c>
      <c r="BA73" s="35">
        <f>IFERROR(BA51*MIN(1,Inputs!$D$55/C51),0)</f>
        <v>0</v>
      </c>
      <c r="BB73" s="35">
        <f>IFERROR(BB51*MIN(1,Inputs!$D$55/C51),0)</f>
        <v>0</v>
      </c>
      <c r="BC73" s="35">
        <f>IFERROR(BC51*MIN(1,Inputs!$D$55/C51),0)</f>
        <v>0</v>
      </c>
      <c r="BD73" s="35">
        <f>IFERROR(BD51*MIN(1,Inputs!$D$55/C51),0)</f>
        <v>0</v>
      </c>
      <c r="BE73" s="35">
        <f>IFERROR(BE51*MIN(1,Inputs!$D$55/C51),0)</f>
        <v>0</v>
      </c>
      <c r="BF73" s="35">
        <f>IFERROR(BF51*MIN(1,Inputs!$D$55/C51),0)</f>
        <v>0</v>
      </c>
      <c r="BG73" s="35">
        <f>IFERROR(BG51*MIN(1,Inputs!$D$55/C51),0)</f>
        <v>0</v>
      </c>
      <c r="BH73" s="35">
        <f>IFERROR(BH51*MIN(1,Inputs!$D$55/C51),0)</f>
        <v>0</v>
      </c>
      <c r="BI73" s="35">
        <f>IFERROR(BI51*MIN(1,Inputs!$D$55/C51),0)</f>
        <v>0</v>
      </c>
      <c r="BJ73" s="35">
        <f>IFERROR(BJ51*MIN(1,Inputs!$D$55/C51),0)</f>
        <v>0</v>
      </c>
      <c r="BK73" s="35">
        <f>IFERROR(BK51*MIN(1,Inputs!$D$55/C51),0)</f>
        <v>0</v>
      </c>
      <c r="BL73" s="35">
        <f>IFERROR(BL51*MIN(1,Inputs!$D$55/C51),0)</f>
        <v>0</v>
      </c>
      <c r="BM73" s="35">
        <f>IFERROR(BM51*MIN(1,Inputs!$D$55/C51),0)</f>
        <v>0</v>
      </c>
      <c r="BN73" s="35">
        <f>IFERROR(BN51*MIN(1,Inputs!$D$55/C51),0)</f>
        <v>0</v>
      </c>
      <c r="BO73" s="35">
        <f>IFERROR(BO51*MIN(1,Inputs!$D$55/C51),0)</f>
        <v>0</v>
      </c>
    </row>
    <row r="74" spans="2:67" ht="15" customHeight="1" x14ac:dyDescent="0.4">
      <c r="B74" s="28" t="s">
        <v>95</v>
      </c>
      <c r="C74" s="34" t="e">
        <f>SUM(H74:BO74)</f>
        <v>#REF!</v>
      </c>
      <c r="D74" s="95"/>
      <c r="E74" s="95"/>
      <c r="F74" s="95"/>
      <c r="G74" s="95"/>
      <c r="H74" s="34">
        <f>0</f>
        <v>0</v>
      </c>
      <c r="I74" s="34" t="e">
        <f>H76*(Inputs!$D$57/12)</f>
        <v>#REF!</v>
      </c>
      <c r="J74" s="34" t="e">
        <f>I76*(Inputs!$D$57/12)</f>
        <v>#REF!</v>
      </c>
      <c r="K74" s="34" t="e">
        <f>J76*(Inputs!$D$57/12)</f>
        <v>#REF!</v>
      </c>
      <c r="L74" s="34" t="e">
        <f>K76*(Inputs!$D$57/12)</f>
        <v>#REF!</v>
      </c>
      <c r="M74" s="34" t="e">
        <f>L76*(Inputs!$D$57/12)</f>
        <v>#REF!</v>
      </c>
      <c r="N74" s="34" t="e">
        <f>M76*(Inputs!$D$57/12)</f>
        <v>#REF!</v>
      </c>
      <c r="O74" s="34" t="e">
        <f>N76*(Inputs!$D$57/12)</f>
        <v>#REF!</v>
      </c>
      <c r="P74" s="34" t="e">
        <f>O76*(Inputs!$D$57/12)</f>
        <v>#REF!</v>
      </c>
      <c r="Q74" s="34" t="e">
        <f>P76*(Inputs!$D$57/12)</f>
        <v>#REF!</v>
      </c>
      <c r="R74" s="34" t="e">
        <f>Q76*(Inputs!$D$57/12)</f>
        <v>#REF!</v>
      </c>
      <c r="S74" s="34" t="e">
        <f>R76*(Inputs!$D$57/12)</f>
        <v>#REF!</v>
      </c>
      <c r="T74" s="34" t="e">
        <f>S76*(Inputs!$D$57/12)</f>
        <v>#REF!</v>
      </c>
      <c r="U74" s="34" t="e">
        <f>T76*(Inputs!$D$57/12)</f>
        <v>#REF!</v>
      </c>
      <c r="V74" s="34" t="e">
        <f>U76*(Inputs!$D$57/12)</f>
        <v>#REF!</v>
      </c>
      <c r="W74" s="34" t="e">
        <f>V76*(Inputs!$D$57/12)</f>
        <v>#REF!</v>
      </c>
      <c r="X74" s="34" t="e">
        <f>W76*(Inputs!$D$57/12)</f>
        <v>#REF!</v>
      </c>
      <c r="Y74" s="34" t="e">
        <f>X76*(Inputs!$D$57/12)</f>
        <v>#REF!</v>
      </c>
      <c r="Z74" s="34" t="e">
        <f>Y76*(Inputs!$D$57/12)</f>
        <v>#REF!</v>
      </c>
      <c r="AA74" s="34" t="e">
        <f>Z76*(Inputs!$D$57/12)</f>
        <v>#REF!</v>
      </c>
      <c r="AB74" s="34" t="e">
        <f>AA76*(Inputs!$D$57/12)</f>
        <v>#REF!</v>
      </c>
      <c r="AC74" s="34" t="e">
        <f>AB76*(Inputs!$D$57/12)</f>
        <v>#REF!</v>
      </c>
      <c r="AD74" s="34" t="e">
        <f>AC76*(Inputs!$D$57/12)</f>
        <v>#REF!</v>
      </c>
      <c r="AE74" s="34" t="e">
        <f>AD76*(Inputs!$D$57/12)</f>
        <v>#REF!</v>
      </c>
      <c r="AF74" s="34" t="e">
        <f>AE76*(Inputs!$D$57/12)</f>
        <v>#REF!</v>
      </c>
      <c r="AG74" s="34" t="e">
        <f>AF76*(Inputs!$D$57/12)</f>
        <v>#REF!</v>
      </c>
      <c r="AH74" s="34" t="e">
        <f>AG76*(Inputs!$D$57/12)</f>
        <v>#REF!</v>
      </c>
      <c r="AI74" s="34" t="e">
        <f>AH76*(Inputs!$D$57/12)</f>
        <v>#REF!</v>
      </c>
      <c r="AJ74" s="34" t="e">
        <f>AI76*(Inputs!$D$57/12)</f>
        <v>#REF!</v>
      </c>
      <c r="AK74" s="34" t="e">
        <f>AJ76*(Inputs!$D$57/12)</f>
        <v>#REF!</v>
      </c>
      <c r="AL74" s="34" t="e">
        <f>AK76*(Inputs!$D$57/12)</f>
        <v>#REF!</v>
      </c>
      <c r="AM74" s="34" t="e">
        <f>AL76*(Inputs!$D$57/12)</f>
        <v>#REF!</v>
      </c>
      <c r="AN74" s="34" t="e">
        <f>AM76*(Inputs!$D$57/12)</f>
        <v>#REF!</v>
      </c>
      <c r="AO74" s="34" t="e">
        <f>AN76*(Inputs!$D$57/12)</f>
        <v>#REF!</v>
      </c>
      <c r="AP74" s="34" t="e">
        <f>AO76*(Inputs!$D$57/12)</f>
        <v>#REF!</v>
      </c>
      <c r="AQ74" s="34" t="e">
        <f>AP76*(Inputs!$D$57/12)</f>
        <v>#REF!</v>
      </c>
      <c r="AR74" s="34" t="e">
        <f>AQ76*(Inputs!$D$57/12)</f>
        <v>#REF!</v>
      </c>
      <c r="AS74" s="34" t="e">
        <f>AR76*(Inputs!$D$57/12)</f>
        <v>#REF!</v>
      </c>
      <c r="AT74" s="34" t="e">
        <f>AS76*(Inputs!$D$57/12)</f>
        <v>#REF!</v>
      </c>
      <c r="AU74" s="34" t="e">
        <f>AT76*(Inputs!$D$57/12)</f>
        <v>#REF!</v>
      </c>
      <c r="AV74" s="34" t="e">
        <f>AU76*(Inputs!$D$57/12)</f>
        <v>#REF!</v>
      </c>
      <c r="AW74" s="34" t="e">
        <f>AV76*(Inputs!$D$57/12)</f>
        <v>#REF!</v>
      </c>
      <c r="AX74" s="34" t="e">
        <f>AW76*(Inputs!$D$57/12)</f>
        <v>#REF!</v>
      </c>
      <c r="AY74" s="34" t="e">
        <f>AX76*(Inputs!$D$57/12)</f>
        <v>#REF!</v>
      </c>
      <c r="AZ74" s="34" t="e">
        <f>AY76*(Inputs!$D$57/12)</f>
        <v>#REF!</v>
      </c>
      <c r="BA74" s="34" t="e">
        <f>AZ76*(Inputs!$D$57/12)</f>
        <v>#REF!</v>
      </c>
      <c r="BB74" s="34" t="e">
        <f>BA76*(Inputs!$D$57/12)</f>
        <v>#REF!</v>
      </c>
      <c r="BC74" s="34" t="e">
        <f>BB76*(Inputs!$D$57/12)</f>
        <v>#REF!</v>
      </c>
      <c r="BD74" s="34" t="e">
        <f>BC76*(Inputs!$D$57/12)</f>
        <v>#REF!</v>
      </c>
      <c r="BE74" s="34" t="e">
        <f>BD76*(Inputs!$D$57/12)</f>
        <v>#REF!</v>
      </c>
      <c r="BF74" s="34" t="e">
        <f>BE76*(Inputs!$D$57/12)</f>
        <v>#REF!</v>
      </c>
      <c r="BG74" s="34" t="e">
        <f>BF76*(Inputs!$D$57/12)</f>
        <v>#REF!</v>
      </c>
      <c r="BH74" s="34" t="e">
        <f>BG76*(Inputs!$D$57/12)</f>
        <v>#REF!</v>
      </c>
      <c r="BI74" s="34" t="e">
        <f>BH76*(Inputs!$D$57/12)</f>
        <v>#REF!</v>
      </c>
      <c r="BJ74" s="34" t="e">
        <f>BI76*(Inputs!$D$57/12)</f>
        <v>#REF!</v>
      </c>
      <c r="BK74" s="34" t="e">
        <f>BJ76*(Inputs!$D$57/12)</f>
        <v>#REF!</v>
      </c>
      <c r="BL74" s="34" t="e">
        <f>BK76*(Inputs!$D$57/12)</f>
        <v>#REF!</v>
      </c>
      <c r="BM74" s="34" t="e">
        <f>BL76*(Inputs!$D$57/12)</f>
        <v>#REF!</v>
      </c>
      <c r="BN74" s="34" t="e">
        <f>BM76*(Inputs!$D$57/12)</f>
        <v>#REF!</v>
      </c>
      <c r="BO74" s="34" t="e">
        <f>BN76*(Inputs!$D$57/12)</f>
        <v>#REF!</v>
      </c>
    </row>
    <row r="75" spans="2:67" ht="15" customHeight="1" x14ac:dyDescent="0.4">
      <c r="B75" s="28" t="s">
        <v>96</v>
      </c>
      <c r="C75" s="34" t="e">
        <f>SUM(H75:BO75)</f>
        <v>#REF!</v>
      </c>
      <c r="D75" s="95"/>
      <c r="E75" s="95"/>
      <c r="F75" s="95"/>
      <c r="G75" s="95"/>
      <c r="H75" s="34" t="e">
        <f>MIN(H55*Inputs!#REF!,H73+H72+H74)</f>
        <v>#REF!</v>
      </c>
      <c r="I75" s="34" t="e">
        <f>MIN(I55*Inputs!#REF!,H76+I73+I72+I74)</f>
        <v>#REF!</v>
      </c>
      <c r="J75" s="34" t="e">
        <f>MIN(J55*Inputs!#REF!,I76+J73+J72+J74)</f>
        <v>#REF!</v>
      </c>
      <c r="K75" s="34" t="e">
        <f>MIN(K55*Inputs!#REF!,J76+K73+K72+K74)</f>
        <v>#REF!</v>
      </c>
      <c r="L75" s="34" t="e">
        <f>MIN(L55*Inputs!#REF!,K76+L73+L72+L74)</f>
        <v>#REF!</v>
      </c>
      <c r="M75" s="34" t="e">
        <f>MIN(M55*Inputs!#REF!,L76+M73+M72+M74)</f>
        <v>#REF!</v>
      </c>
      <c r="N75" s="34" t="e">
        <f>MIN(N55*Inputs!#REF!,M76+N73+N72+N74)</f>
        <v>#REF!</v>
      </c>
      <c r="O75" s="34" t="e">
        <f>MIN(O55*Inputs!#REF!,N76+O73+O72+O74)</f>
        <v>#REF!</v>
      </c>
      <c r="P75" s="34" t="e">
        <f>MIN(P55*Inputs!#REF!,O76+P73+P72+P74)</f>
        <v>#REF!</v>
      </c>
      <c r="Q75" s="34" t="e">
        <f>MIN(Q55*Inputs!#REF!,P76+Q73+Q72+Q74)</f>
        <v>#REF!</v>
      </c>
      <c r="R75" s="34" t="e">
        <f>MIN(R55*Inputs!#REF!,Q76+R73+R72+R74)</f>
        <v>#REF!</v>
      </c>
      <c r="S75" s="34" t="e">
        <f>MIN(S55*Inputs!#REF!,R76+S73+S72+S74)</f>
        <v>#REF!</v>
      </c>
      <c r="T75" s="34" t="e">
        <f>MIN(T55*Inputs!#REF!,S76+T73+T72+T74)</f>
        <v>#REF!</v>
      </c>
      <c r="U75" s="34" t="e">
        <f>MIN(U55*Inputs!#REF!,T76+U73+U72+U74)</f>
        <v>#REF!</v>
      </c>
      <c r="V75" s="34" t="e">
        <f>MIN(V55*Inputs!#REF!,U76+V73+V72+V74)</f>
        <v>#REF!</v>
      </c>
      <c r="W75" s="34" t="e">
        <f>MIN(W55*Inputs!#REF!,V76+W73+W72+W74)</f>
        <v>#REF!</v>
      </c>
      <c r="X75" s="34" t="e">
        <f>MIN(X55*Inputs!#REF!,W76+X73+X72+X74)</f>
        <v>#REF!</v>
      </c>
      <c r="Y75" s="34" t="e">
        <f>MIN(Y55*Inputs!#REF!,X76+Y73+Y72+Y74)</f>
        <v>#REF!</v>
      </c>
      <c r="Z75" s="34" t="e">
        <f>MIN(Z55*Inputs!#REF!,Y76+Z73+Z72+Z74)</f>
        <v>#REF!</v>
      </c>
      <c r="AA75" s="34" t="e">
        <f>MIN(AA55*Inputs!#REF!,Z76+AA73+AA72+AA74)</f>
        <v>#REF!</v>
      </c>
      <c r="AB75" s="34" t="e">
        <f>MIN(AB55*Inputs!#REF!,AA76+AB73+AB72+AB74)</f>
        <v>#REF!</v>
      </c>
      <c r="AC75" s="34" t="e">
        <f>MIN(AC55*Inputs!#REF!,AB76+AC73+AC72+AC74)</f>
        <v>#REF!</v>
      </c>
      <c r="AD75" s="34" t="e">
        <f>MIN(AD55*Inputs!#REF!,AC76+AD73+AD72+AD74)</f>
        <v>#REF!</v>
      </c>
      <c r="AE75" s="34" t="e">
        <f>MIN(AE55*Inputs!#REF!,AD76+AE73+AE72+AE74)</f>
        <v>#REF!</v>
      </c>
      <c r="AF75" s="34" t="e">
        <f>MIN(AF55*Inputs!#REF!,AE76+AF73+AF72+AF74)</f>
        <v>#REF!</v>
      </c>
      <c r="AG75" s="34" t="e">
        <f>MIN(AG55*Inputs!#REF!,AF76+AG73+AG72+AG74)</f>
        <v>#REF!</v>
      </c>
      <c r="AH75" s="34" t="e">
        <f>MIN(AH55*Inputs!#REF!,AG76+AH73+AH72+AH74)</f>
        <v>#REF!</v>
      </c>
      <c r="AI75" s="34" t="e">
        <f>MIN(AI55*Inputs!#REF!,AH76+AI73+AI72+AI74)</f>
        <v>#REF!</v>
      </c>
      <c r="AJ75" s="34" t="e">
        <f>MIN(AJ55*Inputs!#REF!,AI76+AJ73+AJ72+AJ74)</f>
        <v>#REF!</v>
      </c>
      <c r="AK75" s="34" t="e">
        <f>MIN(AK55*Inputs!#REF!,AJ76+AK73+AK72+AK74)</f>
        <v>#REF!</v>
      </c>
      <c r="AL75" s="34" t="e">
        <f>MIN(AL55*Inputs!#REF!,AK76+AL73+AL72+AL74)</f>
        <v>#REF!</v>
      </c>
      <c r="AM75" s="34" t="e">
        <f>MIN(AM55*Inputs!#REF!,AL76+AM73+AM72+AM74)</f>
        <v>#REF!</v>
      </c>
      <c r="AN75" s="34" t="e">
        <f>MIN(AN55*Inputs!#REF!,AM76+AN73+AN72+AN74)</f>
        <v>#REF!</v>
      </c>
      <c r="AO75" s="34" t="e">
        <f>MIN(AO55*Inputs!#REF!,AN76+AO73+AO72+AO74)</f>
        <v>#REF!</v>
      </c>
      <c r="AP75" s="34" t="e">
        <f>MIN(AP55*Inputs!#REF!,AO76+AP73+AP72+AP74)</f>
        <v>#REF!</v>
      </c>
      <c r="AQ75" s="34" t="e">
        <f>MIN(AQ55*Inputs!#REF!,AP76+AQ73+AQ72+AQ74)</f>
        <v>#REF!</v>
      </c>
      <c r="AR75" s="34" t="e">
        <f>MIN(AR55*Inputs!#REF!,AQ76+AR73+AR72+AR74)</f>
        <v>#REF!</v>
      </c>
      <c r="AS75" s="34" t="e">
        <f>MIN(AS55*Inputs!#REF!,AR76+AS73+AS72+AS74)</f>
        <v>#REF!</v>
      </c>
      <c r="AT75" s="34" t="e">
        <f>MIN(AT55*Inputs!#REF!,AS76+AT73+AT72+AT74)</f>
        <v>#REF!</v>
      </c>
      <c r="AU75" s="34" t="e">
        <f>MIN(AU55*Inputs!#REF!,AT76+AU73+AU72+AU74)</f>
        <v>#REF!</v>
      </c>
      <c r="AV75" s="34" t="e">
        <f>MIN(AV55*Inputs!#REF!,AU76+AV73+AV72+AV74)</f>
        <v>#REF!</v>
      </c>
      <c r="AW75" s="34" t="e">
        <f>MIN(AW55*Inputs!#REF!,AV76+AW73+AW72+AW74)</f>
        <v>#REF!</v>
      </c>
      <c r="AX75" s="34" t="e">
        <f>MIN(AX55*Inputs!#REF!,AW76+AX73+AX72+AX74)</f>
        <v>#REF!</v>
      </c>
      <c r="AY75" s="34" t="e">
        <f>MIN(AY55*Inputs!#REF!,AX76+AY73+AY72+AY74)</f>
        <v>#REF!</v>
      </c>
      <c r="AZ75" s="34" t="e">
        <f>MIN(AZ55*Inputs!#REF!,AY76+AZ73+AZ72+AZ74)</f>
        <v>#REF!</v>
      </c>
      <c r="BA75" s="34" t="e">
        <f>MIN(BA55*Inputs!#REF!,AZ76+BA73+BA72+BA74)</f>
        <v>#REF!</v>
      </c>
      <c r="BB75" s="34" t="e">
        <f>MIN(BB55*Inputs!#REF!,BA76+BB73+BB72+BB74)</f>
        <v>#REF!</v>
      </c>
      <c r="BC75" s="34" t="e">
        <f>MIN(BC55*Inputs!#REF!,BB76+BC73+BC72+BC74)</f>
        <v>#REF!</v>
      </c>
      <c r="BD75" s="34" t="e">
        <f>MIN(BD55*Inputs!#REF!,BC76+BD73+BD72+BD74)</f>
        <v>#REF!</v>
      </c>
      <c r="BE75" s="34" t="e">
        <f>MIN(BE55*Inputs!#REF!,BD76+BE73+BE72+BE74)</f>
        <v>#REF!</v>
      </c>
      <c r="BF75" s="34" t="e">
        <f>MIN(BF55*Inputs!#REF!,BE76+BF73+BF72+BF74)</f>
        <v>#REF!</v>
      </c>
      <c r="BG75" s="34" t="e">
        <f>MIN(BG55*Inputs!#REF!,BF76+BG73+BG72+BG74)</f>
        <v>#REF!</v>
      </c>
      <c r="BH75" s="34" t="e">
        <f>MIN(BH55*Inputs!#REF!,BG76+BH73+BH72+BH74)</f>
        <v>#REF!</v>
      </c>
      <c r="BI75" s="34" t="e">
        <f>MIN(BI55*Inputs!#REF!,BH76+BI73+BI72+BI74)</f>
        <v>#REF!</v>
      </c>
      <c r="BJ75" s="34" t="e">
        <f>MIN(BJ55*Inputs!#REF!,BI76+BJ73+BJ72+BJ74)</f>
        <v>#REF!</v>
      </c>
      <c r="BK75" s="34" t="e">
        <f>MIN(BK55*Inputs!#REF!,BJ76+BK73+BK72+BK74)</f>
        <v>#REF!</v>
      </c>
      <c r="BL75" s="34" t="e">
        <f>MIN(BL55*Inputs!#REF!,BK76+BL73+BL72+BL74)</f>
        <v>#REF!</v>
      </c>
      <c r="BM75" s="34" t="e">
        <f>MIN(BM55*Inputs!#REF!,BL76+BM73+BM72+BM74)</f>
        <v>#REF!</v>
      </c>
      <c r="BN75" s="34" t="e">
        <f>MIN(BN55*Inputs!#REF!,BM76+BN73+BN72+BN74)</f>
        <v>#REF!</v>
      </c>
      <c r="BO75" s="34" t="e">
        <f>MIN(BO55*Inputs!#REF!,BN76+BO73+BO72+BO74)</f>
        <v>#REF!</v>
      </c>
    </row>
    <row r="76" spans="2:67" ht="15" customHeight="1" x14ac:dyDescent="0.4">
      <c r="B76" s="26" t="s">
        <v>97</v>
      </c>
      <c r="C76" s="35" t="e">
        <f>BO76</f>
        <v>#REF!</v>
      </c>
      <c r="D76" s="83"/>
      <c r="E76" s="83"/>
      <c r="F76" s="83"/>
      <c r="G76" s="83"/>
      <c r="H76" s="36" t="e">
        <f>H73+H72+H74-H75</f>
        <v>#REF!</v>
      </c>
      <c r="I76" s="36" t="e">
        <f t="shared" ref="I76:AN76" si="17">H76+I73+I72+I74-I75</f>
        <v>#REF!</v>
      </c>
      <c r="J76" s="36" t="e">
        <f t="shared" si="17"/>
        <v>#REF!</v>
      </c>
      <c r="K76" s="36" t="e">
        <f t="shared" si="17"/>
        <v>#REF!</v>
      </c>
      <c r="L76" s="36" t="e">
        <f t="shared" si="17"/>
        <v>#REF!</v>
      </c>
      <c r="M76" s="36" t="e">
        <f t="shared" si="17"/>
        <v>#REF!</v>
      </c>
      <c r="N76" s="36" t="e">
        <f t="shared" si="17"/>
        <v>#REF!</v>
      </c>
      <c r="O76" s="36" t="e">
        <f t="shared" si="17"/>
        <v>#REF!</v>
      </c>
      <c r="P76" s="36" t="e">
        <f t="shared" si="17"/>
        <v>#REF!</v>
      </c>
      <c r="Q76" s="36" t="e">
        <f t="shared" si="17"/>
        <v>#REF!</v>
      </c>
      <c r="R76" s="36" t="e">
        <f t="shared" si="17"/>
        <v>#REF!</v>
      </c>
      <c r="S76" s="36" t="e">
        <f t="shared" si="17"/>
        <v>#REF!</v>
      </c>
      <c r="T76" s="36" t="e">
        <f t="shared" si="17"/>
        <v>#REF!</v>
      </c>
      <c r="U76" s="36" t="e">
        <f t="shared" si="17"/>
        <v>#REF!</v>
      </c>
      <c r="V76" s="36" t="e">
        <f t="shared" si="17"/>
        <v>#REF!</v>
      </c>
      <c r="W76" s="36" t="e">
        <f t="shared" si="17"/>
        <v>#REF!</v>
      </c>
      <c r="X76" s="36" t="e">
        <f t="shared" si="17"/>
        <v>#REF!</v>
      </c>
      <c r="Y76" s="36" t="e">
        <f t="shared" si="17"/>
        <v>#REF!</v>
      </c>
      <c r="Z76" s="36" t="e">
        <f t="shared" si="17"/>
        <v>#REF!</v>
      </c>
      <c r="AA76" s="36" t="e">
        <f t="shared" si="17"/>
        <v>#REF!</v>
      </c>
      <c r="AB76" s="36" t="e">
        <f t="shared" si="17"/>
        <v>#REF!</v>
      </c>
      <c r="AC76" s="36" t="e">
        <f t="shared" si="17"/>
        <v>#REF!</v>
      </c>
      <c r="AD76" s="36" t="e">
        <f t="shared" si="17"/>
        <v>#REF!</v>
      </c>
      <c r="AE76" s="36" t="e">
        <f t="shared" si="17"/>
        <v>#REF!</v>
      </c>
      <c r="AF76" s="36" t="e">
        <f t="shared" si="17"/>
        <v>#REF!</v>
      </c>
      <c r="AG76" s="36" t="e">
        <f t="shared" si="17"/>
        <v>#REF!</v>
      </c>
      <c r="AH76" s="36" t="e">
        <f t="shared" si="17"/>
        <v>#REF!</v>
      </c>
      <c r="AI76" s="36" t="e">
        <f t="shared" si="17"/>
        <v>#REF!</v>
      </c>
      <c r="AJ76" s="36" t="e">
        <f t="shared" si="17"/>
        <v>#REF!</v>
      </c>
      <c r="AK76" s="36" t="e">
        <f t="shared" si="17"/>
        <v>#REF!</v>
      </c>
      <c r="AL76" s="36" t="e">
        <f t="shared" si="17"/>
        <v>#REF!</v>
      </c>
      <c r="AM76" s="36" t="e">
        <f t="shared" si="17"/>
        <v>#REF!</v>
      </c>
      <c r="AN76" s="36" t="e">
        <f t="shared" si="17"/>
        <v>#REF!</v>
      </c>
      <c r="AO76" s="36" t="e">
        <f t="shared" ref="AO76:BO76" si="18">AN76+AO73+AO72+AO74-AO75</f>
        <v>#REF!</v>
      </c>
      <c r="AP76" s="36" t="e">
        <f t="shared" si="18"/>
        <v>#REF!</v>
      </c>
      <c r="AQ76" s="36" t="e">
        <f t="shared" si="18"/>
        <v>#REF!</v>
      </c>
      <c r="AR76" s="36" t="e">
        <f t="shared" si="18"/>
        <v>#REF!</v>
      </c>
      <c r="AS76" s="36" t="e">
        <f t="shared" si="18"/>
        <v>#REF!</v>
      </c>
      <c r="AT76" s="36" t="e">
        <f t="shared" si="18"/>
        <v>#REF!</v>
      </c>
      <c r="AU76" s="36" t="e">
        <f t="shared" si="18"/>
        <v>#REF!</v>
      </c>
      <c r="AV76" s="36" t="e">
        <f t="shared" si="18"/>
        <v>#REF!</v>
      </c>
      <c r="AW76" s="36" t="e">
        <f t="shared" si="18"/>
        <v>#REF!</v>
      </c>
      <c r="AX76" s="36" t="e">
        <f t="shared" si="18"/>
        <v>#REF!</v>
      </c>
      <c r="AY76" s="36" t="e">
        <f t="shared" si="18"/>
        <v>#REF!</v>
      </c>
      <c r="AZ76" s="36" t="e">
        <f t="shared" si="18"/>
        <v>#REF!</v>
      </c>
      <c r="BA76" s="36" t="e">
        <f t="shared" si="18"/>
        <v>#REF!</v>
      </c>
      <c r="BB76" s="36" t="e">
        <f t="shared" si="18"/>
        <v>#REF!</v>
      </c>
      <c r="BC76" s="36" t="e">
        <f t="shared" si="18"/>
        <v>#REF!</v>
      </c>
      <c r="BD76" s="36" t="e">
        <f t="shared" si="18"/>
        <v>#REF!</v>
      </c>
      <c r="BE76" s="36" t="e">
        <f t="shared" si="18"/>
        <v>#REF!</v>
      </c>
      <c r="BF76" s="36" t="e">
        <f t="shared" si="18"/>
        <v>#REF!</v>
      </c>
      <c r="BG76" s="36" t="e">
        <f t="shared" si="18"/>
        <v>#REF!</v>
      </c>
      <c r="BH76" s="36" t="e">
        <f t="shared" si="18"/>
        <v>#REF!</v>
      </c>
      <c r="BI76" s="36" t="e">
        <f t="shared" si="18"/>
        <v>#REF!</v>
      </c>
      <c r="BJ76" s="36" t="e">
        <f t="shared" si="18"/>
        <v>#REF!</v>
      </c>
      <c r="BK76" s="36" t="e">
        <f t="shared" si="18"/>
        <v>#REF!</v>
      </c>
      <c r="BL76" s="36" t="e">
        <f t="shared" si="18"/>
        <v>#REF!</v>
      </c>
      <c r="BM76" s="36" t="e">
        <f t="shared" si="18"/>
        <v>#REF!</v>
      </c>
      <c r="BN76" s="36" t="e">
        <f t="shared" si="18"/>
        <v>#REF!</v>
      </c>
      <c r="BO76" s="36" t="e">
        <f t="shared" si="18"/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511D5DC06EAF4CA4C9888846D15BFF" ma:contentTypeVersion="13" ma:contentTypeDescription="Crear nuevo documento." ma:contentTypeScope="" ma:versionID="4f644b2cccd5371fc20a61593b733d4d">
  <xsd:schema xmlns:xsd="http://www.w3.org/2001/XMLSchema" xmlns:xs="http://www.w3.org/2001/XMLSchema" xmlns:p="http://schemas.microsoft.com/office/2006/metadata/properties" xmlns:ns2="dd6ab442-04ac-4630-b603-093b00f14225" xmlns:ns3="8022b652-37ab-4331-8bb5-f4ddbbb96610" targetNamespace="http://schemas.microsoft.com/office/2006/metadata/properties" ma:root="true" ma:fieldsID="5f88888fb39458ef87df63e98eaa5850" ns2:_="" ns3:_="">
    <xsd:import namespace="dd6ab442-04ac-4630-b603-093b00f14225"/>
    <xsd:import namespace="8022b652-37ab-4331-8bb5-f4ddbbb96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ab442-04ac-4630-b603-093b00f142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b15af23-965b-406e-88e6-1bbd7d05a7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2b652-37ab-4331-8bb5-f4ddbbb96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50b702-7884-4089-8f52-52b21782aacd}" ma:internalName="TaxCatchAll" ma:showField="CatchAllData" ma:web="8022b652-37ab-4331-8bb5-f4ddbbb96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22b652-37ab-4331-8bb5-f4ddbbb96610" xsi:nil="true"/>
    <lcf76f155ced4ddcb4097134ff3c332f xmlns="dd6ab442-04ac-4630-b603-093b00f142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71FE56-3875-4B5D-A3E4-7829D653B5DC}"/>
</file>

<file path=customXml/itemProps2.xml><?xml version="1.0" encoding="utf-8"?>
<ds:datastoreItem xmlns:ds="http://schemas.openxmlformats.org/officeDocument/2006/customXml" ds:itemID="{48B5A48A-015A-46F8-A447-BC9FBD5E7A87}"/>
</file>

<file path=customXml/itemProps3.xml><?xml version="1.0" encoding="utf-8"?>
<ds:datastoreItem xmlns:ds="http://schemas.openxmlformats.org/officeDocument/2006/customXml" ds:itemID="{8A3E157A-B40F-4659-B5F7-DC0E3587E37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Quick Screen</vt:lpstr>
      <vt:lpstr>Cover</vt:lpstr>
      <vt:lpstr>Inputs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Federico Busacca</cp:lastModifiedBy>
  <cp:revision>0</cp:revision>
  <dcterms:created xsi:type="dcterms:W3CDTF">2026-04-21T10:33:54Z</dcterms:created>
  <dcterms:modified xsi:type="dcterms:W3CDTF">2026-04-21T15:02:48Z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0x010100A4511D5DC06EAF4CA4C9888846D15BFF</vt:lpwstr>
  </property>
</Properties>
</file>